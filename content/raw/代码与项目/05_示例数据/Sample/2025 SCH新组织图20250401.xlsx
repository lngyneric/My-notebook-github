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bei\Desktop\"/>
    </mc:Choice>
  </mc:AlternateContent>
  <xr:revisionPtr revIDLastSave="0" documentId="13_ncr:1_{12E99BA0-8569-453C-86FC-E8BCBA2FC7FA}" xr6:coauthVersionLast="47" xr6:coauthVersionMax="47" xr10:uidLastSave="{00000000-0000-0000-0000-000000000000}"/>
  <bookViews>
    <workbookView xWindow="-120" yWindow="-120" windowWidth="29040" windowHeight="15720" xr2:uid="{B8AEDA8F-2277-4EF3-BF4E-8EDA862538B9}"/>
  </bookViews>
  <sheets>
    <sheet name="架构图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M55" i="1" l="1"/>
  <c r="FB55" i="1"/>
  <c r="EM55" i="1"/>
  <c r="DQ55" i="1"/>
  <c r="DA55" i="1"/>
  <c r="CH55" i="1"/>
  <c r="DA50" i="1" s="1"/>
  <c r="DX39" i="1" s="1"/>
  <c r="BN55" i="1"/>
  <c r="AX55" i="1"/>
  <c r="AM55" i="1"/>
  <c r="AD55" i="1"/>
  <c r="AM40" i="1" s="1"/>
  <c r="FM54" i="1"/>
  <c r="FB54" i="1"/>
  <c r="FF49" i="1" s="1"/>
  <c r="EM54" i="1"/>
  <c r="DQ54" i="1"/>
  <c r="DA54" i="1"/>
  <c r="CH54" i="1"/>
  <c r="BN54" i="1"/>
  <c r="DA49" i="1" s="1"/>
  <c r="AX54" i="1"/>
  <c r="AM54" i="1"/>
  <c r="AD54" i="1"/>
  <c r="GP51" i="1"/>
  <c r="MH50" i="1"/>
  <c r="MA50" i="1"/>
  <c r="LE50" i="1"/>
  <c r="KW50" i="1"/>
  <c r="LA39" i="1" s="1"/>
  <c r="KL50" i="1"/>
  <c r="IU50" i="1"/>
  <c r="IU40" i="1" s="1"/>
  <c r="GP50" i="1"/>
  <c r="GP45" i="1" s="1"/>
  <c r="IU39" i="1" s="1"/>
  <c r="GE50" i="1"/>
  <c r="FF50" i="1"/>
  <c r="S50" i="1"/>
  <c r="DX6" i="1" s="1"/>
  <c r="L50" i="1"/>
  <c r="MH49" i="1"/>
  <c r="MA49" i="1"/>
  <c r="LE49" i="1"/>
  <c r="KW49" i="1"/>
  <c r="KL49" i="1"/>
  <c r="KL42" i="1" s="1"/>
  <c r="IU49" i="1"/>
  <c r="GE49" i="1"/>
  <c r="S49" i="1"/>
  <c r="L49" i="1"/>
  <c r="GP46" i="1"/>
  <c r="LP45" i="1"/>
  <c r="LP40" i="1" s="1"/>
  <c r="LP44" i="1"/>
  <c r="LP39" i="1" s="1"/>
  <c r="KL43" i="1"/>
  <c r="AM39" i="1"/>
  <c r="LA38" i="1"/>
  <c r="DR11" i="1"/>
  <c r="DX38" i="1" l="1"/>
  <c r="DX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lu.bei</author>
  </authors>
  <commentList>
    <comment ref="LQ40" authorId="0" shapeId="0" xr:uid="{5032A063-DB0F-43B5-B138-0E3E63F80972}">
      <text>
        <r>
          <rPr>
            <b/>
            <sz val="9"/>
            <color indexed="81"/>
            <rFont val="宋体"/>
            <family val="3"/>
            <charset val="134"/>
          </rPr>
          <t xml:space="preserve"> (区域事务协调，上海公司费用控制）</t>
        </r>
      </text>
    </comment>
    <comment ref="LK48" authorId="0" shapeId="0" xr:uid="{7C2A9099-3BD4-4C64-B832-D1D48966387A}">
      <text>
        <r>
          <rPr>
            <sz val="11"/>
            <color indexed="81"/>
            <rFont val="宋体"/>
            <family val="3"/>
            <charset val="134"/>
          </rPr>
          <t>财务管理部日常工作由凌玮负责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F57" authorId="0" shapeId="0" xr:uid="{2230B57E-7519-4FE4-A020-2883A8B38334}">
      <text>
        <r>
          <rPr>
            <sz val="11"/>
            <color indexed="81"/>
            <rFont val="微软雅黑"/>
            <family val="2"/>
            <charset val="134"/>
          </rPr>
          <t>功能：不良事件监测部门</t>
        </r>
      </text>
    </comment>
    <comment ref="LI58" authorId="0" shapeId="0" xr:uid="{E296BEF6-9A93-48BC-BBB3-2FC370DF0A43}">
      <text>
        <r>
          <rPr>
            <b/>
            <sz val="9"/>
            <color indexed="81"/>
            <rFont val="宋体"/>
            <family val="3"/>
            <charset val="134"/>
          </rPr>
          <t>lu.bei:</t>
        </r>
        <r>
          <rPr>
            <sz val="9"/>
            <color indexed="81"/>
            <rFont val="宋体"/>
            <family val="3"/>
            <charset val="134"/>
          </rPr>
          <t xml:space="preserve">
财务分析课日常工作由凌玮负责</t>
        </r>
      </text>
    </comment>
    <comment ref="LM58" authorId="0" shapeId="0" xr:uid="{D7F8F634-7CBE-424E-BC7A-7F65CE6528C8}">
      <text>
        <r>
          <rPr>
            <b/>
            <sz val="9"/>
            <color indexed="81"/>
            <rFont val="宋体"/>
            <family val="3"/>
            <charset val="134"/>
          </rPr>
          <t>lu.bei:</t>
        </r>
        <r>
          <rPr>
            <sz val="9"/>
            <color indexed="81"/>
            <rFont val="宋体"/>
            <family val="3"/>
            <charset val="134"/>
          </rPr>
          <t xml:space="preserve">
报表/固定资产课日常工作由凌玮负责</t>
        </r>
      </text>
    </comment>
    <comment ref="LQ58" authorId="0" shapeId="0" xr:uid="{85F9A3B1-234C-4C07-8DA3-AE09A9C00CBD}">
      <text>
        <r>
          <rPr>
            <sz val="10"/>
            <color indexed="81"/>
            <rFont val="微软雅黑"/>
            <family val="2"/>
            <charset val="134"/>
          </rPr>
          <t>应收账款/信控课日常工作由沈莉玲负责</t>
        </r>
      </text>
    </comment>
    <comment ref="LU58" authorId="0" shapeId="0" xr:uid="{526442AF-6771-44A1-A697-F9C24BEC0EE2}">
      <text>
        <r>
          <rPr>
            <b/>
            <sz val="9"/>
            <color indexed="81"/>
            <rFont val="宋体"/>
            <family val="3"/>
            <charset val="134"/>
          </rPr>
          <t>lu.bei:</t>
        </r>
        <r>
          <rPr>
            <sz val="9"/>
            <color indexed="81"/>
            <rFont val="宋体"/>
            <family val="3"/>
            <charset val="134"/>
          </rPr>
          <t xml:space="preserve">
财务会计课日常工作由孔思秋负责</t>
        </r>
      </text>
    </comment>
  </commentList>
</comments>
</file>

<file path=xl/sharedStrings.xml><?xml version="1.0" encoding="utf-8"?>
<sst xmlns="http://schemas.openxmlformats.org/spreadsheetml/2006/main" count="1164" uniqueCount="817">
  <si>
    <t>CEO &amp; 总经理</t>
    <phoneticPr fontId="5"/>
  </si>
  <si>
    <t>彭 作辉</t>
    <phoneticPr fontId="5"/>
  </si>
  <si>
    <t>总经理秘书室</t>
  </si>
  <si>
    <t>BD项目组</t>
    <phoneticPr fontId="10" type="noConversion"/>
  </si>
  <si>
    <t>*功能：有关新业务合并开拓导入项目规划及运作</t>
    <phoneticPr fontId="10" type="noConversion"/>
  </si>
  <si>
    <t>何其华* 总监</t>
    <phoneticPr fontId="12" type="noConversion"/>
  </si>
  <si>
    <t>时昌文* 组长</t>
    <phoneticPr fontId="3" type="noConversion"/>
  </si>
  <si>
    <t>王珂*、凌励*、吴婉青*、木口彰*、时昌文*、王阳*</t>
    <phoneticPr fontId="10" type="noConversion"/>
  </si>
  <si>
    <t>助理团队</t>
    <phoneticPr fontId="12" type="noConversion"/>
  </si>
  <si>
    <t>全国会务团队</t>
    <phoneticPr fontId="12" type="noConversion"/>
  </si>
  <si>
    <t>销售团队</t>
    <phoneticPr fontId="12" type="noConversion"/>
  </si>
  <si>
    <t xml:space="preserve">        非销售团队</t>
    <phoneticPr fontId="12" type="noConversion"/>
  </si>
  <si>
    <t>洪丽丽（高级主管）</t>
    <phoneticPr fontId="12" type="noConversion"/>
  </si>
  <si>
    <t>马晓燕（高级主管）</t>
    <phoneticPr fontId="12" type="noConversion"/>
  </si>
  <si>
    <t>高级主管</t>
    <phoneticPr fontId="12" type="noConversion"/>
  </si>
  <si>
    <t>马晓燕*</t>
    <phoneticPr fontId="12" type="noConversion"/>
  </si>
  <si>
    <t>销售一部</t>
    <phoneticPr fontId="12" type="noConversion"/>
  </si>
  <si>
    <t>销售二部</t>
    <phoneticPr fontId="12" type="noConversion"/>
  </si>
  <si>
    <t>销售一区
（北京办、河北办、沈阳办）</t>
    <phoneticPr fontId="12" type="noConversion"/>
  </si>
  <si>
    <t>陈   卉（高级）</t>
    <phoneticPr fontId="12" type="noConversion"/>
  </si>
  <si>
    <t>一区</t>
    <phoneticPr fontId="12" type="noConversion"/>
  </si>
  <si>
    <t>洪丽丽*（高级主管）</t>
    <phoneticPr fontId="12" type="noConversion"/>
  </si>
  <si>
    <t>市场营销部</t>
  </si>
  <si>
    <t>马晓燕*（高级主管）</t>
    <phoneticPr fontId="13" type="noConversion"/>
  </si>
  <si>
    <t>曹恩嘉*（高级）</t>
    <phoneticPr fontId="12" type="noConversion"/>
  </si>
  <si>
    <t>销售二区</t>
    <phoneticPr fontId="12" type="noConversion"/>
  </si>
  <si>
    <t>沈瓅珺</t>
    <phoneticPr fontId="12" type="noConversion"/>
  </si>
  <si>
    <t>二区</t>
    <phoneticPr fontId="12" type="noConversion"/>
  </si>
  <si>
    <t>严思羽</t>
    <phoneticPr fontId="13" type="noConversion"/>
  </si>
  <si>
    <t>客户服务本部/IT部</t>
    <phoneticPr fontId="12" type="noConversion"/>
  </si>
  <si>
    <t>曹恩嘉（高级）</t>
    <phoneticPr fontId="12" type="noConversion"/>
  </si>
  <si>
    <t>张   苹*</t>
    <phoneticPr fontId="12" type="noConversion"/>
  </si>
  <si>
    <t>销售三区</t>
    <phoneticPr fontId="12" type="noConversion"/>
  </si>
  <si>
    <t>生化免疫事业部</t>
  </si>
  <si>
    <t>张苹</t>
    <phoneticPr fontId="13" type="noConversion"/>
  </si>
  <si>
    <t>李雅琴*</t>
    <phoneticPr fontId="12" type="noConversion"/>
  </si>
  <si>
    <t>销售四区</t>
    <phoneticPr fontId="12" type="noConversion"/>
  </si>
  <si>
    <t>张帅</t>
    <phoneticPr fontId="12" type="noConversion"/>
  </si>
  <si>
    <t>市场执行部</t>
    <phoneticPr fontId="12" type="noConversion"/>
  </si>
  <si>
    <t>销售团队*</t>
    <phoneticPr fontId="12" type="noConversion"/>
  </si>
  <si>
    <t>销售五区</t>
    <phoneticPr fontId="12" type="noConversion"/>
  </si>
  <si>
    <t>冯妍妃（高级）</t>
    <phoneticPr fontId="12" type="noConversion"/>
  </si>
  <si>
    <t>学术应用本部</t>
    <phoneticPr fontId="3" type="noConversion"/>
  </si>
  <si>
    <t>李雅琴</t>
    <phoneticPr fontId="12" type="noConversion"/>
  </si>
  <si>
    <t>销售本部</t>
    <phoneticPr fontId="12" type="noConversion"/>
  </si>
  <si>
    <t>注册法规&amp;品保本部</t>
    <phoneticPr fontId="12" type="noConversion"/>
  </si>
  <si>
    <t>学术/应用本部</t>
    <phoneticPr fontId="12" type="noConversion"/>
  </si>
  <si>
    <t>王  珂 常务副总</t>
    <phoneticPr fontId="12" type="noConversion"/>
  </si>
  <si>
    <t>客户服务本部</t>
    <phoneticPr fontId="10" type="noConversion"/>
  </si>
  <si>
    <t>彭总 *CEO &amp; 总经理</t>
    <phoneticPr fontId="3" type="noConversion"/>
  </si>
  <si>
    <t>CFO</t>
    <phoneticPr fontId="12" type="noConversion"/>
  </si>
  <si>
    <t>凌   励 副总经理</t>
    <phoneticPr fontId="12" type="noConversion"/>
  </si>
  <si>
    <t>凌   励* 副总经理</t>
    <phoneticPr fontId="10" type="noConversion"/>
  </si>
  <si>
    <t>黄   庆</t>
    <phoneticPr fontId="12" type="noConversion"/>
  </si>
  <si>
    <t>供应链管理部</t>
    <phoneticPr fontId="12" type="noConversion"/>
  </si>
  <si>
    <t>区域财务管理</t>
    <phoneticPr fontId="12" type="noConversion"/>
  </si>
  <si>
    <t>质量负责人</t>
  </si>
  <si>
    <t>杨晓飞* 总监</t>
    <phoneticPr fontId="3" type="noConversion"/>
  </si>
  <si>
    <t>曹   磊  经理</t>
    <phoneticPr fontId="12" type="noConversion"/>
  </si>
  <si>
    <t>朱宏钧* 高级经理</t>
  </si>
  <si>
    <t>SCH财务本部</t>
    <phoneticPr fontId="12" type="noConversion"/>
  </si>
  <si>
    <t>IT管理部</t>
    <phoneticPr fontId="12" type="noConversion"/>
  </si>
  <si>
    <t>黄   庆*CFO</t>
    <phoneticPr fontId="12" type="noConversion"/>
  </si>
  <si>
    <t>许晓辉*  高级总监</t>
    <phoneticPr fontId="12" type="noConversion"/>
  </si>
  <si>
    <t>BD事业开发部</t>
    <phoneticPr fontId="10" type="noConversion"/>
  </si>
  <si>
    <t xml:space="preserve">生化免疫事业部
</t>
    <phoneticPr fontId="12" type="noConversion"/>
  </si>
  <si>
    <t>市场营销部</t>
    <phoneticPr fontId="12" type="noConversion"/>
  </si>
  <si>
    <t>*窗口人（大客户经理、生免产线经理）的【市场职能】部分需向对应产品线的市场部双向汇报&amp;双向MBO考评</t>
    <phoneticPr fontId="3" type="noConversion"/>
  </si>
  <si>
    <t>部门助理
李雅琴*</t>
    <phoneticPr fontId="12" type="noConversion"/>
  </si>
  <si>
    <t>客户服务部</t>
    <phoneticPr fontId="12" type="noConversion"/>
  </si>
  <si>
    <t>供应链管理部</t>
    <phoneticPr fontId="3" type="noConversion"/>
  </si>
  <si>
    <t>注册法规部</t>
    <phoneticPr fontId="12" type="noConversion"/>
  </si>
  <si>
    <t>品保部</t>
    <phoneticPr fontId="12" type="noConversion"/>
  </si>
  <si>
    <t>财务管理部</t>
    <phoneticPr fontId="12" type="noConversion"/>
  </si>
  <si>
    <t>人力资源行政部</t>
    <phoneticPr fontId="13" type="noConversion"/>
  </si>
  <si>
    <t>战略分析管理部</t>
    <phoneticPr fontId="10" type="noConversion"/>
  </si>
  <si>
    <t>监察室</t>
    <phoneticPr fontId="10" type="noConversion"/>
  </si>
  <si>
    <t>法务合规部</t>
    <phoneticPr fontId="12" type="noConversion"/>
  </si>
  <si>
    <t>经营企画室</t>
    <phoneticPr fontId="10" type="noConversion"/>
  </si>
  <si>
    <t>时昌文* 总监</t>
    <phoneticPr fontId="3" type="noConversion"/>
  </si>
  <si>
    <t>时昌文 总监</t>
    <phoneticPr fontId="12" type="noConversion"/>
  </si>
  <si>
    <t>吴婉青 高级总监</t>
    <phoneticPr fontId="12" type="noConversion"/>
  </si>
  <si>
    <t>王  珂* 常务副总</t>
    <phoneticPr fontId="12" type="noConversion"/>
  </si>
  <si>
    <t>王  珂* 常务副总</t>
    <phoneticPr fontId="10" type="noConversion"/>
  </si>
  <si>
    <t>吴婉青*  高级总监</t>
    <phoneticPr fontId="12" type="noConversion"/>
  </si>
  <si>
    <t>许晓辉  高级总监</t>
    <phoneticPr fontId="12" type="noConversion"/>
  </si>
  <si>
    <t>蔡朝强 总监</t>
  </si>
  <si>
    <t>杨晓飞  总监</t>
    <phoneticPr fontId="12" type="noConversion"/>
  </si>
  <si>
    <t>杨晓飞*  总监</t>
    <phoneticPr fontId="12" type="noConversion"/>
  </si>
  <si>
    <t>凌   玮   总监</t>
    <phoneticPr fontId="12" type="noConversion"/>
  </si>
  <si>
    <t>何其华 总监</t>
    <phoneticPr fontId="12" type="noConversion"/>
  </si>
  <si>
    <t>钱  晨  总监</t>
    <phoneticPr fontId="12" type="noConversion"/>
  </si>
  <si>
    <t>邵   勇  总监</t>
    <phoneticPr fontId="12" type="noConversion"/>
  </si>
  <si>
    <t>许  燕  总监</t>
    <phoneticPr fontId="12" type="noConversion"/>
  </si>
  <si>
    <t>沈   涵 总监</t>
    <phoneticPr fontId="12" type="noConversion"/>
  </si>
  <si>
    <t>部门助理</t>
    <phoneticPr fontId="12" type="noConversion"/>
  </si>
  <si>
    <t xml:space="preserve">市场助理
</t>
    <phoneticPr fontId="12" type="noConversion"/>
  </si>
  <si>
    <t>张苹*</t>
    <phoneticPr fontId="12" type="noConversion"/>
  </si>
  <si>
    <t>技术顾问：王海光*</t>
    <phoneticPr fontId="3" type="noConversion"/>
  </si>
  <si>
    <t>客服助理：
曹恩嘉*（高级）</t>
    <phoneticPr fontId="12" type="noConversion"/>
  </si>
  <si>
    <t>马晓燕*（高级主管）</t>
    <phoneticPr fontId="10" type="noConversion"/>
  </si>
  <si>
    <t>学术一区</t>
    <phoneticPr fontId="12" type="noConversion"/>
  </si>
  <si>
    <t>学术二区</t>
    <phoneticPr fontId="12" type="noConversion"/>
  </si>
  <si>
    <t>学术三区</t>
    <phoneticPr fontId="12" type="noConversion"/>
  </si>
  <si>
    <t>销售一区</t>
    <phoneticPr fontId="12" type="noConversion"/>
  </si>
  <si>
    <t>大客户经理团队</t>
    <phoneticPr fontId="12" type="noConversion"/>
  </si>
  <si>
    <t>胡世莲 副总监</t>
    <phoneticPr fontId="3" type="noConversion"/>
  </si>
  <si>
    <t xml:space="preserve">李   覃  总监 </t>
    <phoneticPr fontId="12" type="noConversion"/>
  </si>
  <si>
    <t xml:space="preserve">李   强  总监 </t>
    <phoneticPr fontId="12" type="noConversion"/>
  </si>
  <si>
    <t>王筠   总监</t>
    <phoneticPr fontId="12" type="noConversion"/>
  </si>
  <si>
    <t>罗春梅 高级总监</t>
    <phoneticPr fontId="12" type="noConversion"/>
  </si>
  <si>
    <t>陈平 副总监</t>
    <phoneticPr fontId="12" type="noConversion"/>
  </si>
  <si>
    <t>敖日格乐 总监</t>
    <phoneticPr fontId="12" type="noConversion"/>
  </si>
  <si>
    <t>林毅红 总监</t>
    <phoneticPr fontId="12" type="noConversion"/>
  </si>
  <si>
    <t>卞合东 总监</t>
    <phoneticPr fontId="12" type="noConversion"/>
  </si>
  <si>
    <t>洪晓武 副总监</t>
    <phoneticPr fontId="12" type="noConversion"/>
  </si>
  <si>
    <t xml:space="preserve">宫本婕   副总监                                                                                                                                                                          </t>
    <phoneticPr fontId="12" type="noConversion"/>
  </si>
  <si>
    <t>张   明（高级）
上海/全国生化</t>
    <phoneticPr fontId="12" type="noConversion"/>
  </si>
  <si>
    <t>王阳 副总监</t>
    <phoneticPr fontId="3" type="noConversion"/>
  </si>
  <si>
    <t>木口彰*</t>
    <phoneticPr fontId="10" type="noConversion"/>
  </si>
  <si>
    <t>张苹*</t>
    <phoneticPr fontId="3" type="noConversion"/>
  </si>
  <si>
    <t>（免疫推进）</t>
    <phoneticPr fontId="12" type="noConversion"/>
  </si>
  <si>
    <t>生化免疫课</t>
    <phoneticPr fontId="12" type="noConversion"/>
  </si>
  <si>
    <t>凝血产品课</t>
    <phoneticPr fontId="12" type="noConversion"/>
  </si>
  <si>
    <t>血液体液课</t>
    <phoneticPr fontId="12" type="noConversion"/>
  </si>
  <si>
    <t>综合产品课</t>
    <phoneticPr fontId="12" type="noConversion"/>
  </si>
  <si>
    <t>学术一课</t>
    <phoneticPr fontId="12" type="noConversion"/>
  </si>
  <si>
    <t>学术二课</t>
    <phoneticPr fontId="12" type="noConversion"/>
  </si>
  <si>
    <t>学术三课</t>
    <phoneticPr fontId="12" type="noConversion"/>
  </si>
  <si>
    <t>学术四课</t>
    <phoneticPr fontId="12" type="noConversion"/>
  </si>
  <si>
    <t>学术五课</t>
    <phoneticPr fontId="12" type="noConversion"/>
  </si>
  <si>
    <t>学术六课</t>
    <phoneticPr fontId="12" type="noConversion"/>
  </si>
  <si>
    <t>学术七课</t>
    <phoneticPr fontId="12" type="noConversion"/>
  </si>
  <si>
    <t>学术八课</t>
    <phoneticPr fontId="12" type="noConversion"/>
  </si>
  <si>
    <t>生命科学应用课</t>
    <phoneticPr fontId="12" type="noConversion"/>
  </si>
  <si>
    <t>山东办事处</t>
  </si>
  <si>
    <t>沈阳办事处</t>
    <phoneticPr fontId="12" type="noConversion"/>
  </si>
  <si>
    <t>北京办事处</t>
    <phoneticPr fontId="12" type="noConversion"/>
  </si>
  <si>
    <t>河北办事处</t>
    <phoneticPr fontId="12" type="noConversion"/>
  </si>
  <si>
    <t>南京办事处</t>
    <phoneticPr fontId="12" type="noConversion"/>
  </si>
  <si>
    <t>安徽办事处</t>
    <phoneticPr fontId="12" type="noConversion"/>
  </si>
  <si>
    <t>上海办事处</t>
  </si>
  <si>
    <t>重庆办事处</t>
    <phoneticPr fontId="12" type="noConversion"/>
  </si>
  <si>
    <t>成都办事处</t>
  </si>
  <si>
    <t>江西办事处</t>
    <phoneticPr fontId="12" type="noConversion"/>
  </si>
  <si>
    <t>浙江办事处</t>
    <phoneticPr fontId="12" type="noConversion"/>
  </si>
  <si>
    <t>新疆办事处</t>
  </si>
  <si>
    <t>甘青宁办事处</t>
    <phoneticPr fontId="12" type="noConversion"/>
  </si>
  <si>
    <t>西安办事处</t>
  </si>
  <si>
    <t>内蒙古办事处</t>
    <phoneticPr fontId="12" type="noConversion"/>
  </si>
  <si>
    <t>武汉办事处</t>
    <phoneticPr fontId="12" type="noConversion"/>
  </si>
  <si>
    <t>湖南办事处</t>
    <phoneticPr fontId="12" type="noConversion"/>
  </si>
  <si>
    <t>河南办事处</t>
    <phoneticPr fontId="12" type="noConversion"/>
  </si>
  <si>
    <t>山西办事处</t>
    <phoneticPr fontId="12" type="noConversion"/>
  </si>
  <si>
    <t>福州办事处</t>
  </si>
  <si>
    <t>广西办事处</t>
    <phoneticPr fontId="12" type="noConversion"/>
  </si>
  <si>
    <t>广州办事处</t>
  </si>
  <si>
    <t>深圳办事处</t>
    <phoneticPr fontId="12" type="noConversion"/>
  </si>
  <si>
    <t>云南办事处</t>
    <phoneticPr fontId="12" type="noConversion"/>
  </si>
  <si>
    <t>贵州办事处</t>
    <phoneticPr fontId="12" type="noConversion"/>
  </si>
  <si>
    <t>销售1区</t>
    <phoneticPr fontId="12" type="noConversion"/>
  </si>
  <si>
    <t>销售2区</t>
    <phoneticPr fontId="12" type="noConversion"/>
  </si>
  <si>
    <t>销售3区</t>
    <phoneticPr fontId="12" type="noConversion"/>
  </si>
  <si>
    <t>销售4区</t>
    <phoneticPr fontId="12" type="noConversion"/>
  </si>
  <si>
    <t>销售5区</t>
    <phoneticPr fontId="12" type="noConversion"/>
  </si>
  <si>
    <t>销售6区</t>
    <phoneticPr fontId="12" type="noConversion"/>
  </si>
  <si>
    <t>销售7区</t>
    <phoneticPr fontId="12" type="noConversion"/>
  </si>
  <si>
    <t>内部AI开发（内部系统）</t>
    <phoneticPr fontId="3" type="noConversion"/>
  </si>
  <si>
    <t>外部AI开发及运维</t>
    <phoneticPr fontId="3" type="noConversion"/>
  </si>
  <si>
    <t>客服北区</t>
    <phoneticPr fontId="12" type="noConversion"/>
  </si>
  <si>
    <t>客服西区</t>
    <phoneticPr fontId="12" type="noConversion"/>
  </si>
  <si>
    <t>客服中区</t>
    <phoneticPr fontId="12" type="noConversion"/>
  </si>
  <si>
    <t>客服东区</t>
    <phoneticPr fontId="12" type="noConversion"/>
  </si>
  <si>
    <t>客服南区</t>
    <phoneticPr fontId="12" type="noConversion"/>
  </si>
  <si>
    <t>技术课</t>
    <phoneticPr fontId="12" type="noConversion"/>
  </si>
  <si>
    <t>客服综合管理课</t>
    <phoneticPr fontId="12" type="noConversion"/>
  </si>
  <si>
    <t>服务营销课</t>
    <phoneticPr fontId="12" type="noConversion"/>
  </si>
  <si>
    <t>物流课</t>
    <phoneticPr fontId="12" type="noConversion"/>
  </si>
  <si>
    <t>计划与采购管理课</t>
    <phoneticPr fontId="12" type="noConversion"/>
  </si>
  <si>
    <t>进出口与订单管理课</t>
    <phoneticPr fontId="12" type="noConversion"/>
  </si>
  <si>
    <t>临检产品注册课</t>
    <phoneticPr fontId="12" type="noConversion"/>
  </si>
  <si>
    <t>免疫产品注册/法规研究课</t>
    <phoneticPr fontId="12" type="noConversion"/>
  </si>
  <si>
    <t>检测临床课</t>
    <phoneticPr fontId="12" type="noConversion"/>
  </si>
  <si>
    <t>质量体系管理课</t>
    <phoneticPr fontId="12" type="noConversion"/>
  </si>
  <si>
    <t xml:space="preserve">后市场监督课
</t>
    <phoneticPr fontId="12" type="noConversion"/>
  </si>
  <si>
    <t>财务分析课</t>
    <phoneticPr fontId="12" type="noConversion"/>
  </si>
  <si>
    <t>报表/固定资产课</t>
    <phoneticPr fontId="12" type="noConversion"/>
  </si>
  <si>
    <t>应收账款/信控课</t>
    <phoneticPr fontId="12" type="noConversion"/>
  </si>
  <si>
    <t>财务会计课</t>
    <phoneticPr fontId="12" type="noConversion"/>
  </si>
  <si>
    <t>人事课</t>
  </si>
  <si>
    <t>行政课</t>
  </si>
  <si>
    <t>战略分析课</t>
    <phoneticPr fontId="12" type="noConversion"/>
  </si>
  <si>
    <t>商务管理课</t>
    <phoneticPr fontId="12" type="noConversion"/>
  </si>
  <si>
    <t>木口 彰</t>
    <phoneticPr fontId="12" type="noConversion"/>
  </si>
  <si>
    <t>时昌文* 总监</t>
    <phoneticPr fontId="12" type="noConversion"/>
  </si>
  <si>
    <t>陈长浩 高级经理</t>
    <phoneticPr fontId="12" type="noConversion"/>
  </si>
  <si>
    <t>张永强   高级经理</t>
    <phoneticPr fontId="12" type="noConversion"/>
  </si>
  <si>
    <t>查本慧  经理</t>
    <phoneticPr fontId="12" type="noConversion"/>
  </si>
  <si>
    <t>负责：华鑫\TOSOH\Alifax产品</t>
    <phoneticPr fontId="12" type="noConversion"/>
  </si>
  <si>
    <t>朱云英 副经理</t>
    <phoneticPr fontId="12" type="noConversion"/>
  </si>
  <si>
    <t>付   麟   经理</t>
    <phoneticPr fontId="12" type="noConversion"/>
  </si>
  <si>
    <t>丁学硕 代理经理</t>
    <phoneticPr fontId="12" type="noConversion"/>
  </si>
  <si>
    <t>宋庆波  副经理</t>
    <phoneticPr fontId="12" type="noConversion"/>
  </si>
  <si>
    <t>郭   瑛  经理</t>
    <phoneticPr fontId="12" type="noConversion"/>
  </si>
  <si>
    <t>李   强* 总监</t>
    <phoneticPr fontId="12" type="noConversion"/>
  </si>
  <si>
    <t>曹文静  经理</t>
    <phoneticPr fontId="12" type="noConversion"/>
  </si>
  <si>
    <t>孙志鹏 副经理</t>
    <phoneticPr fontId="12" type="noConversion"/>
  </si>
  <si>
    <t>王子轶  副经理</t>
    <phoneticPr fontId="12" type="noConversion"/>
  </si>
  <si>
    <t>张文忠 代理经理</t>
    <phoneticPr fontId="12" type="noConversion"/>
  </si>
  <si>
    <t>卞合东* 总监</t>
    <phoneticPr fontId="12" type="noConversion"/>
  </si>
  <si>
    <t>王晓丹  经理</t>
    <phoneticPr fontId="12" type="noConversion"/>
  </si>
  <si>
    <t>石   强  代理经理</t>
    <phoneticPr fontId="12" type="noConversion"/>
  </si>
  <si>
    <t>侯  涛   高级经理</t>
    <phoneticPr fontId="12" type="noConversion"/>
  </si>
  <si>
    <t>苏   军  副经理</t>
    <phoneticPr fontId="12" type="noConversion"/>
  </si>
  <si>
    <t>吕光明  副经理</t>
    <phoneticPr fontId="12" type="noConversion"/>
  </si>
  <si>
    <t>罗春梅* 高级总监</t>
    <phoneticPr fontId="12" type="noConversion"/>
  </si>
  <si>
    <t>罗小镒  高级经理</t>
    <phoneticPr fontId="12" type="noConversion"/>
  </si>
  <si>
    <t>何建聪  经理</t>
    <phoneticPr fontId="12" type="noConversion"/>
  </si>
  <si>
    <t>沈   辉  代理经理</t>
    <phoneticPr fontId="12" type="noConversion"/>
  </si>
  <si>
    <t>梁  峰   副经理</t>
    <phoneticPr fontId="12" type="noConversion"/>
  </si>
  <si>
    <t xml:space="preserve">  卢大鹏  经理</t>
    <phoneticPr fontId="12" type="noConversion"/>
  </si>
  <si>
    <t>陈平* 副总监</t>
    <phoneticPr fontId="12" type="noConversion"/>
  </si>
  <si>
    <t>敖日格乐* 总监</t>
    <phoneticPr fontId="12" type="noConversion"/>
  </si>
  <si>
    <t>龚碧波  经理</t>
    <phoneticPr fontId="12" type="noConversion"/>
  </si>
  <si>
    <t>谭正伟  代理经理</t>
    <phoneticPr fontId="12" type="noConversion"/>
  </si>
  <si>
    <t>左 飞  高级经理</t>
    <phoneticPr fontId="12" type="noConversion"/>
  </si>
  <si>
    <t>于洪洲 经理</t>
    <phoneticPr fontId="12" type="noConversion"/>
  </si>
  <si>
    <t>王  飞  副经理</t>
    <phoneticPr fontId="12" type="noConversion"/>
  </si>
  <si>
    <t>冯祖鑫  经理</t>
    <phoneticPr fontId="12" type="noConversion"/>
  </si>
  <si>
    <t>郑约翰  经理</t>
    <phoneticPr fontId="12" type="noConversion"/>
  </si>
  <si>
    <t>鲍晓玲 经理</t>
    <phoneticPr fontId="12" type="noConversion"/>
  </si>
  <si>
    <t>史飞龙  副经理</t>
    <phoneticPr fontId="12" type="noConversion"/>
  </si>
  <si>
    <t>成绍芳 经理</t>
    <phoneticPr fontId="12" type="noConversion"/>
  </si>
  <si>
    <t>关兵兵 经理</t>
    <phoneticPr fontId="12" type="noConversion"/>
  </si>
  <si>
    <t>杨永辉 代理经理</t>
    <phoneticPr fontId="12" type="noConversion"/>
  </si>
  <si>
    <t>（      ）</t>
    <phoneticPr fontId="12" type="noConversion"/>
  </si>
  <si>
    <t>耿振波  代理经理</t>
    <phoneticPr fontId="12" type="noConversion"/>
  </si>
  <si>
    <t>刘   佳  代理经理</t>
    <phoneticPr fontId="12" type="noConversion"/>
  </si>
  <si>
    <t>林文波 副经理</t>
    <phoneticPr fontId="12" type="noConversion"/>
  </si>
  <si>
    <t>欧阳红华  高级经理</t>
    <phoneticPr fontId="12" type="noConversion"/>
  </si>
  <si>
    <t>沈俊杰 经理</t>
    <phoneticPr fontId="12" type="noConversion"/>
  </si>
  <si>
    <t>罗   劼  高级经理</t>
    <phoneticPr fontId="12" type="noConversion"/>
  </si>
  <si>
    <t>杨志刚  经理</t>
    <phoneticPr fontId="12" type="noConversion"/>
  </si>
  <si>
    <t>刘讯峰    经理</t>
    <phoneticPr fontId="12" type="noConversion"/>
  </si>
  <si>
    <t>卢亚超  经理</t>
    <phoneticPr fontId="12" type="noConversion"/>
  </si>
  <si>
    <t>何辉彪  高级经理</t>
    <phoneticPr fontId="12" type="noConversion"/>
  </si>
  <si>
    <t>李士忠  高级经理</t>
    <phoneticPr fontId="12" type="noConversion"/>
  </si>
  <si>
    <t>王海光  经理</t>
    <phoneticPr fontId="3" type="noConversion"/>
  </si>
  <si>
    <t>张   姮  高级经理</t>
    <phoneticPr fontId="12" type="noConversion"/>
  </si>
  <si>
    <t>兰紫涛  高级经理</t>
    <phoneticPr fontId="12" type="noConversion"/>
  </si>
  <si>
    <t>吴岳俊  经理</t>
    <phoneticPr fontId="12" type="noConversion"/>
  </si>
  <si>
    <t>周欣月 经理</t>
    <phoneticPr fontId="12" type="noConversion"/>
  </si>
  <si>
    <t>张勤威  经理</t>
    <phoneticPr fontId="12" type="noConversion"/>
  </si>
  <si>
    <t>杨晓飞*  总监</t>
    <phoneticPr fontId="3" type="noConversion"/>
  </si>
  <si>
    <t>袁   鑫  经理</t>
    <phoneticPr fontId="10" type="noConversion"/>
  </si>
  <si>
    <t>张  爽  高级经理</t>
    <phoneticPr fontId="12" type="noConversion"/>
  </si>
  <si>
    <t>钱林林  经理</t>
    <phoneticPr fontId="12" type="noConversion"/>
  </si>
  <si>
    <t>朱宏钧  高级经理</t>
    <phoneticPr fontId="12" type="noConversion"/>
  </si>
  <si>
    <t>凌   玮* 总监</t>
    <phoneticPr fontId="12" type="noConversion"/>
  </si>
  <si>
    <t>沈莉玲 经理</t>
    <phoneticPr fontId="12" type="noConversion"/>
  </si>
  <si>
    <t>孔思秋 副经理</t>
    <phoneticPr fontId="12" type="noConversion"/>
  </si>
  <si>
    <t>郭   琳   高级经理</t>
    <phoneticPr fontId="10" type="noConversion"/>
  </si>
  <si>
    <t>钱  晨 *  总监</t>
    <phoneticPr fontId="12" type="noConversion"/>
  </si>
  <si>
    <t>何玉雯 经理</t>
    <phoneticPr fontId="12" type="noConversion"/>
  </si>
  <si>
    <t>叶峰  代理经理</t>
    <phoneticPr fontId="12" type="noConversion"/>
  </si>
  <si>
    <t xml:space="preserve">          一组</t>
    <phoneticPr fontId="12" type="noConversion"/>
  </si>
  <si>
    <t xml:space="preserve">           三组</t>
    <phoneticPr fontId="12" type="noConversion"/>
  </si>
  <si>
    <t xml:space="preserve">     四组</t>
    <phoneticPr fontId="12" type="noConversion"/>
  </si>
  <si>
    <t>五组</t>
    <phoneticPr fontId="12" type="noConversion"/>
  </si>
  <si>
    <t>苏纪宇（主管）</t>
    <phoneticPr fontId="12" type="noConversion"/>
  </si>
  <si>
    <t>袁明明（高级主管）</t>
    <phoneticPr fontId="12" type="noConversion"/>
  </si>
  <si>
    <t>河南</t>
    <phoneticPr fontId="12" type="noConversion"/>
  </si>
  <si>
    <t>王   铁（高级主管）</t>
    <phoneticPr fontId="12" type="noConversion"/>
  </si>
  <si>
    <t>山东</t>
    <phoneticPr fontId="12" type="noConversion"/>
  </si>
  <si>
    <t>李云飞（高级主管）</t>
    <phoneticPr fontId="12" type="noConversion"/>
  </si>
  <si>
    <t>河北、天津</t>
    <phoneticPr fontId="12" type="noConversion"/>
  </si>
  <si>
    <t>肖   荣（高级主管）</t>
    <phoneticPr fontId="12" type="noConversion"/>
  </si>
  <si>
    <t>湖北</t>
    <phoneticPr fontId="12" type="noConversion"/>
  </si>
  <si>
    <t>刘成群（主管）</t>
    <phoneticPr fontId="12" type="noConversion"/>
  </si>
  <si>
    <t>周云蔚（主管）</t>
    <phoneticPr fontId="12" type="noConversion"/>
  </si>
  <si>
    <t>陈爱华（主管）</t>
    <phoneticPr fontId="12" type="noConversion"/>
  </si>
  <si>
    <t>李延平（主管）</t>
    <phoneticPr fontId="12" type="noConversion"/>
  </si>
  <si>
    <t>梁杰（主管）</t>
    <phoneticPr fontId="12" type="noConversion"/>
  </si>
  <si>
    <t>冯肖（主管）</t>
    <phoneticPr fontId="12" type="noConversion"/>
  </si>
  <si>
    <t>游   磊（主管）</t>
    <phoneticPr fontId="12" type="noConversion"/>
  </si>
  <si>
    <t>刘讯峰*（主管）</t>
    <phoneticPr fontId="3" type="noConversion"/>
  </si>
  <si>
    <t>刘丹（主管）</t>
    <phoneticPr fontId="12" type="noConversion"/>
  </si>
  <si>
    <t>张超（主管）</t>
    <phoneticPr fontId="12" type="noConversion"/>
  </si>
  <si>
    <t>谢志定（主管）</t>
    <phoneticPr fontId="12" type="noConversion"/>
  </si>
  <si>
    <t>俞佳祺（主管）</t>
    <phoneticPr fontId="12" type="noConversion"/>
  </si>
  <si>
    <t>许永忠（主管）</t>
    <phoneticPr fontId="12" type="noConversion"/>
  </si>
  <si>
    <t>汪   结（主管）</t>
    <phoneticPr fontId="12" type="noConversion"/>
  </si>
  <si>
    <t>刘志高（主管）</t>
    <phoneticPr fontId="12" type="noConversion"/>
  </si>
  <si>
    <t>黄耀东（主管）</t>
    <phoneticPr fontId="12" type="noConversion"/>
  </si>
  <si>
    <t>严郭爱（主管）</t>
    <phoneticPr fontId="12" type="noConversion"/>
  </si>
  <si>
    <t>李永涛（主管）</t>
    <phoneticPr fontId="12" type="noConversion"/>
  </si>
  <si>
    <t>韦林剑（主管）</t>
    <phoneticPr fontId="12" type="noConversion"/>
  </si>
  <si>
    <t>周苇（主管）</t>
    <phoneticPr fontId="12" type="noConversion"/>
  </si>
  <si>
    <t>高洪波（主管）</t>
    <phoneticPr fontId="3" type="noConversion"/>
  </si>
  <si>
    <t>鲍重贵（主管）</t>
    <phoneticPr fontId="12" type="noConversion"/>
  </si>
  <si>
    <t xml:space="preserve">   董鹏杰（主管）</t>
    <phoneticPr fontId="12" type="noConversion"/>
  </si>
  <si>
    <t xml:space="preserve">      徐进（主管）</t>
    <phoneticPr fontId="12" type="noConversion"/>
  </si>
  <si>
    <t>夏子琳（主管）</t>
    <phoneticPr fontId="12" type="noConversion"/>
  </si>
  <si>
    <t>热线管理组</t>
    <phoneticPr fontId="3" type="noConversion"/>
  </si>
  <si>
    <t>大数据管理组</t>
    <phoneticPr fontId="3" type="noConversion"/>
  </si>
  <si>
    <t>运输</t>
    <phoneticPr fontId="12" type="noConversion"/>
  </si>
  <si>
    <t>仓库</t>
    <phoneticPr fontId="12" type="noConversion"/>
  </si>
  <si>
    <t>采购</t>
    <phoneticPr fontId="12" type="noConversion"/>
  </si>
  <si>
    <t>进出口</t>
    <phoneticPr fontId="3" type="noConversion"/>
  </si>
  <si>
    <t>订单</t>
    <phoneticPr fontId="3" type="noConversion"/>
  </si>
  <si>
    <t>朱旭涛（高级主管）</t>
    <phoneticPr fontId="12" type="noConversion"/>
  </si>
  <si>
    <t>Laboman及相
关软件开发组</t>
    <phoneticPr fontId="3" type="noConversion"/>
  </si>
  <si>
    <t>AI应用及维护组</t>
    <phoneticPr fontId="3" type="noConversion"/>
  </si>
  <si>
    <t>财务规划与分析</t>
    <phoneticPr fontId="12" type="noConversion"/>
  </si>
  <si>
    <t>总账/报表</t>
    <phoneticPr fontId="12" type="noConversion"/>
  </si>
  <si>
    <t>固定资产</t>
    <phoneticPr fontId="3" type="noConversion"/>
  </si>
  <si>
    <t>信用控制</t>
    <phoneticPr fontId="12" type="noConversion"/>
  </si>
  <si>
    <t>应收会计</t>
    <phoneticPr fontId="12" type="noConversion"/>
  </si>
  <si>
    <t>资金管理和支付结算</t>
    <phoneticPr fontId="12" type="noConversion"/>
  </si>
  <si>
    <t>生免产线经理团队</t>
    <phoneticPr fontId="12" type="noConversion"/>
  </si>
  <si>
    <t>广州办、广西办、湖南办、武汉办、深圳办</t>
    <phoneticPr fontId="12" type="noConversion"/>
  </si>
  <si>
    <t>成都办、重庆办、云南办、贵州办</t>
    <phoneticPr fontId="12" type="noConversion"/>
  </si>
  <si>
    <t>北京办、河南办、河北办</t>
    <phoneticPr fontId="12" type="noConversion"/>
  </si>
  <si>
    <t>山东办、沈阳办</t>
    <phoneticPr fontId="12" type="noConversion"/>
  </si>
  <si>
    <t>西安办、山西办、
内蒙办</t>
    <phoneticPr fontId="12" type="noConversion"/>
  </si>
  <si>
    <t>福州办、上海办、江西办、SNCS</t>
    <phoneticPr fontId="12" type="noConversion"/>
  </si>
  <si>
    <t>浙江办、南京办、安徽办</t>
    <phoneticPr fontId="12" type="noConversion"/>
  </si>
  <si>
    <t>甘青宁办、新疆办</t>
    <phoneticPr fontId="12" type="noConversion"/>
  </si>
  <si>
    <t>全国</t>
    <phoneticPr fontId="12" type="noConversion"/>
  </si>
  <si>
    <t>肖在飞（主管）</t>
    <phoneticPr fontId="12" type="noConversion"/>
  </si>
  <si>
    <t>山东生免产线</t>
    <phoneticPr fontId="12" type="noConversion"/>
  </si>
  <si>
    <t>刘海洲（主管）</t>
    <phoneticPr fontId="12" type="noConversion"/>
  </si>
  <si>
    <t>黑龙江</t>
    <phoneticPr fontId="12" type="noConversion"/>
  </si>
  <si>
    <t>李　刚（主管）</t>
    <phoneticPr fontId="12" type="noConversion"/>
  </si>
  <si>
    <t>北京生免产线</t>
    <phoneticPr fontId="12" type="noConversion"/>
  </si>
  <si>
    <t>罗新岗（主管）</t>
    <phoneticPr fontId="12" type="noConversion"/>
  </si>
  <si>
    <t>河北</t>
    <phoneticPr fontId="12" type="noConversion"/>
  </si>
  <si>
    <t>张玉琳（主管）</t>
    <phoneticPr fontId="12" type="noConversion"/>
  </si>
  <si>
    <t>江苏</t>
    <phoneticPr fontId="12" type="noConversion"/>
  </si>
  <si>
    <t>吴海金（主管）</t>
    <phoneticPr fontId="12" type="noConversion"/>
  </si>
  <si>
    <t>上海生免产线</t>
    <phoneticPr fontId="12" type="noConversion"/>
  </si>
  <si>
    <t>刘圣泽（主管）</t>
    <phoneticPr fontId="12" type="noConversion"/>
  </si>
  <si>
    <t>浙江</t>
    <phoneticPr fontId="12" type="noConversion"/>
  </si>
  <si>
    <t>张   鹏（主管）</t>
    <phoneticPr fontId="12" type="noConversion"/>
  </si>
  <si>
    <t>甘青宁</t>
    <phoneticPr fontId="12" type="noConversion"/>
  </si>
  <si>
    <t>周   楠（主管）</t>
    <phoneticPr fontId="12" type="noConversion"/>
  </si>
  <si>
    <t>陕西</t>
    <phoneticPr fontId="12" type="noConversion"/>
  </si>
  <si>
    <t>郭慧敏（主管）</t>
    <phoneticPr fontId="12" type="noConversion"/>
  </si>
  <si>
    <t>张志远（主管）</t>
    <phoneticPr fontId="12" type="noConversion"/>
  </si>
  <si>
    <t>冯倍元（主管）</t>
    <phoneticPr fontId="12" type="noConversion"/>
  </si>
  <si>
    <t>福建</t>
    <phoneticPr fontId="12" type="noConversion"/>
  </si>
  <si>
    <t>陈   锦（主管）</t>
    <phoneticPr fontId="12" type="noConversion"/>
  </si>
  <si>
    <t>广东</t>
    <phoneticPr fontId="12" type="noConversion"/>
  </si>
  <si>
    <t>牛晓光（主管）</t>
    <phoneticPr fontId="12" type="noConversion"/>
  </si>
  <si>
    <t>北京</t>
    <phoneticPr fontId="12" type="noConversion"/>
  </si>
  <si>
    <t>钟期兴（主管）</t>
    <phoneticPr fontId="12" type="noConversion"/>
  </si>
  <si>
    <t>张江萍（主管）</t>
    <phoneticPr fontId="12" type="noConversion"/>
  </si>
  <si>
    <t>黄   佳（高级主管）</t>
    <phoneticPr fontId="12" type="noConversion"/>
  </si>
  <si>
    <t>贺雅静（高级主管）</t>
    <phoneticPr fontId="12" type="noConversion"/>
  </si>
  <si>
    <t>陈三宏（主管）</t>
    <phoneticPr fontId="3" type="noConversion"/>
  </si>
  <si>
    <t>李   涛（主管）</t>
    <phoneticPr fontId="12" type="noConversion"/>
  </si>
  <si>
    <t>宋丽洁（主管）</t>
    <phoneticPr fontId="12" type="noConversion"/>
  </si>
  <si>
    <t>李   靖（主管）</t>
    <phoneticPr fontId="12" type="noConversion"/>
  </si>
  <si>
    <t>上海</t>
    <phoneticPr fontId="12" type="noConversion"/>
  </si>
  <si>
    <t>曹熠飞（主管）</t>
    <phoneticPr fontId="10" type="noConversion"/>
  </si>
  <si>
    <t>田    敏（主管）</t>
    <phoneticPr fontId="12" type="noConversion"/>
  </si>
  <si>
    <t>胡小巍（主管）</t>
    <phoneticPr fontId="12" type="noConversion"/>
  </si>
  <si>
    <t>韩    雪（主管）</t>
    <phoneticPr fontId="10" type="noConversion"/>
  </si>
  <si>
    <t>刘   飞（主管）</t>
    <phoneticPr fontId="12" type="noConversion"/>
  </si>
  <si>
    <t>陆佩誉(主管)</t>
    <phoneticPr fontId="12" type="noConversion"/>
  </si>
  <si>
    <t>杨   萍（主管）</t>
    <phoneticPr fontId="12" type="noConversion"/>
  </si>
  <si>
    <t>张吴斌（主管）</t>
    <phoneticPr fontId="12" type="noConversion"/>
  </si>
  <si>
    <t>林姗姗（高级）</t>
    <phoneticPr fontId="12" type="noConversion"/>
  </si>
  <si>
    <t>刘飞飞（高级）</t>
    <phoneticPr fontId="12" type="noConversion"/>
  </si>
  <si>
    <t>山西、内蒙部分</t>
    <phoneticPr fontId="12" type="noConversion"/>
  </si>
  <si>
    <t>朱萍慧（高级）</t>
    <phoneticPr fontId="12" type="noConversion"/>
  </si>
  <si>
    <t>深圳、海南</t>
    <phoneticPr fontId="12" type="noConversion"/>
  </si>
  <si>
    <t xml:space="preserve">丁   奇（高级）	</t>
    <phoneticPr fontId="12" type="noConversion"/>
  </si>
  <si>
    <t>丁光明（高级）</t>
    <phoneticPr fontId="3" type="noConversion"/>
  </si>
  <si>
    <t>黄本黎（高级）</t>
    <phoneticPr fontId="3" type="noConversion"/>
  </si>
  <si>
    <t>辽宁</t>
    <phoneticPr fontId="12" type="noConversion"/>
  </si>
  <si>
    <t>吉林</t>
    <phoneticPr fontId="12" type="noConversion"/>
  </si>
  <si>
    <t>内蒙东部</t>
    <phoneticPr fontId="3" type="noConversion"/>
  </si>
  <si>
    <t>内蒙中部</t>
    <phoneticPr fontId="12" type="noConversion"/>
  </si>
  <si>
    <t>河北\天津</t>
    <phoneticPr fontId="12" type="noConversion"/>
  </si>
  <si>
    <t>山西</t>
    <phoneticPr fontId="12" type="noConversion"/>
  </si>
  <si>
    <t>南疆</t>
    <phoneticPr fontId="12" type="noConversion"/>
  </si>
  <si>
    <t>北疆</t>
    <phoneticPr fontId="12" type="noConversion"/>
  </si>
  <si>
    <t>甘青宁、内蒙西部</t>
    <phoneticPr fontId="12" type="noConversion"/>
  </si>
  <si>
    <t>湖南</t>
    <phoneticPr fontId="12" type="noConversion"/>
  </si>
  <si>
    <t>江西</t>
    <phoneticPr fontId="12" type="noConversion"/>
  </si>
  <si>
    <t>江苏（苏南）</t>
    <phoneticPr fontId="12" type="noConversion"/>
  </si>
  <si>
    <t>江苏（苏北）</t>
    <phoneticPr fontId="12" type="noConversion"/>
  </si>
  <si>
    <t>安徽</t>
    <phoneticPr fontId="12" type="noConversion"/>
  </si>
  <si>
    <t>广州</t>
    <phoneticPr fontId="12" type="noConversion"/>
  </si>
  <si>
    <t>海南</t>
    <phoneticPr fontId="12" type="noConversion"/>
  </si>
  <si>
    <t>深圳</t>
    <phoneticPr fontId="12" type="noConversion"/>
  </si>
  <si>
    <t xml:space="preserve">      广西</t>
    <phoneticPr fontId="12" type="noConversion"/>
  </si>
  <si>
    <t>云南</t>
    <phoneticPr fontId="12" type="noConversion"/>
  </si>
  <si>
    <t>贵州</t>
    <phoneticPr fontId="12" type="noConversion"/>
  </si>
  <si>
    <t>四川\西藏</t>
    <phoneticPr fontId="12" type="noConversion"/>
  </si>
  <si>
    <t>重庆</t>
    <phoneticPr fontId="12" type="noConversion"/>
  </si>
  <si>
    <t>福州\厦门</t>
    <phoneticPr fontId="12" type="noConversion"/>
  </si>
  <si>
    <t>技术内围一组</t>
    <phoneticPr fontId="12" type="noConversion"/>
  </si>
  <si>
    <t>技术内围二组</t>
    <phoneticPr fontId="12" type="noConversion"/>
  </si>
  <si>
    <t>远程支持专家组</t>
    <phoneticPr fontId="12" type="noConversion"/>
  </si>
  <si>
    <t>培训中心</t>
    <phoneticPr fontId="12" type="noConversion"/>
  </si>
  <si>
    <t>凌   云（主管）</t>
    <phoneticPr fontId="12" type="noConversion"/>
  </si>
  <si>
    <t xml:space="preserve"> </t>
    <phoneticPr fontId="3" type="noConversion"/>
  </si>
  <si>
    <t>乔   爽（高级主管）</t>
    <phoneticPr fontId="12" type="noConversion"/>
  </si>
  <si>
    <t>王晓强（高级）</t>
    <phoneticPr fontId="12" type="noConversion"/>
  </si>
  <si>
    <t>于扶摇（高级）</t>
    <phoneticPr fontId="12" type="noConversion"/>
  </si>
  <si>
    <t>黑吉生免产线</t>
    <phoneticPr fontId="12" type="noConversion"/>
  </si>
  <si>
    <t>徐向保（高级）</t>
    <phoneticPr fontId="12" type="noConversion"/>
  </si>
  <si>
    <t>赵非雁（高级）</t>
    <phoneticPr fontId="12" type="noConversion"/>
  </si>
  <si>
    <t>王   军（高级）</t>
    <phoneticPr fontId="12" type="noConversion"/>
  </si>
  <si>
    <t>杨   平（高级）</t>
    <phoneticPr fontId="12" type="noConversion"/>
  </si>
  <si>
    <t>甘茗月（高级）</t>
    <phoneticPr fontId="12" type="noConversion"/>
  </si>
  <si>
    <t>蒋晓云（高级）</t>
    <phoneticPr fontId="12" type="noConversion"/>
  </si>
  <si>
    <t>西藏</t>
    <phoneticPr fontId="12" type="noConversion"/>
  </si>
  <si>
    <t>马文龙（高级）</t>
    <phoneticPr fontId="12" type="noConversion"/>
  </si>
  <si>
    <t>江西生免产线</t>
    <phoneticPr fontId="12" type="noConversion"/>
  </si>
  <si>
    <t>马家奇（高级）</t>
    <phoneticPr fontId="12" type="noConversion"/>
  </si>
  <si>
    <t>杨    雪（高级）</t>
    <phoneticPr fontId="12" type="noConversion"/>
  </si>
  <si>
    <t>新疆</t>
    <phoneticPr fontId="12" type="noConversion"/>
  </si>
  <si>
    <t>查永彬（高级）</t>
    <phoneticPr fontId="12" type="noConversion"/>
  </si>
  <si>
    <t>董晓亮（高级）</t>
    <phoneticPr fontId="12" type="noConversion"/>
  </si>
  <si>
    <t>内蒙古</t>
    <phoneticPr fontId="12" type="noConversion"/>
  </si>
  <si>
    <t>许   叠（高级）</t>
    <phoneticPr fontId="12" type="noConversion"/>
  </si>
  <si>
    <t>龙小东（高级）</t>
    <phoneticPr fontId="12" type="noConversion"/>
  </si>
  <si>
    <t>程英杰（高级）</t>
    <phoneticPr fontId="12" type="noConversion"/>
  </si>
  <si>
    <t>陈军波（高级）</t>
    <phoneticPr fontId="12" type="noConversion"/>
  </si>
  <si>
    <t>关义广（高级）</t>
    <phoneticPr fontId="12" type="noConversion"/>
  </si>
  <si>
    <t>段雅雯（高级）</t>
    <phoneticPr fontId="12" type="noConversion"/>
  </si>
  <si>
    <t>吴汶泽（高级）</t>
    <phoneticPr fontId="12" type="noConversion"/>
  </si>
  <si>
    <t>喻良学（高级）</t>
    <phoneticPr fontId="12" type="noConversion"/>
  </si>
  <si>
    <t>李林学（高级）</t>
    <phoneticPr fontId="12" type="noConversion"/>
  </si>
  <si>
    <t>上海、安徽</t>
    <phoneticPr fontId="12" type="noConversion"/>
  </si>
  <si>
    <t>宋鑫金（高级）</t>
    <phoneticPr fontId="12" type="noConversion"/>
  </si>
  <si>
    <t>王   烨（高级）</t>
    <phoneticPr fontId="12" type="noConversion"/>
  </si>
  <si>
    <t>邱   萍（高级）</t>
    <phoneticPr fontId="12" type="noConversion"/>
  </si>
  <si>
    <t>叶   婷（高级）</t>
    <phoneticPr fontId="12" type="noConversion"/>
  </si>
  <si>
    <t>陆玮栋（高级）</t>
    <phoneticPr fontId="12" type="noConversion"/>
  </si>
  <si>
    <t>陈璐珈</t>
    <phoneticPr fontId="12" type="noConversion"/>
  </si>
  <si>
    <t>张   宸</t>
    <phoneticPr fontId="12" type="noConversion"/>
  </si>
  <si>
    <t>刘文彬</t>
    <phoneticPr fontId="3" type="noConversion"/>
  </si>
  <si>
    <t>宋官委（主管）</t>
    <phoneticPr fontId="12" type="noConversion"/>
  </si>
  <si>
    <t>李   伟（主管）</t>
    <phoneticPr fontId="12" type="noConversion"/>
  </si>
  <si>
    <t>井俊龙（高级）</t>
    <phoneticPr fontId="12" type="noConversion"/>
  </si>
  <si>
    <t>苏   园（高级）</t>
    <phoneticPr fontId="12" type="noConversion"/>
  </si>
  <si>
    <t>张雪玲（高级）</t>
    <phoneticPr fontId="12" type="noConversion"/>
  </si>
  <si>
    <t>谢   超（高级）</t>
    <phoneticPr fontId="12" type="noConversion"/>
  </si>
  <si>
    <t>四川</t>
    <phoneticPr fontId="12" type="noConversion"/>
  </si>
  <si>
    <t>张梦彧（高级）</t>
    <phoneticPr fontId="12" type="noConversion"/>
  </si>
  <si>
    <t>浙江生免产线</t>
    <phoneticPr fontId="12" type="noConversion"/>
  </si>
  <si>
    <t>图拉嘎（高级）</t>
    <phoneticPr fontId="12" type="noConversion"/>
  </si>
  <si>
    <t>刘钦玮（高级）</t>
    <phoneticPr fontId="12" type="noConversion"/>
  </si>
  <si>
    <t>杨金霖（高级）</t>
    <phoneticPr fontId="12" type="noConversion"/>
  </si>
  <si>
    <t>湖南生免产线</t>
    <phoneticPr fontId="12" type="noConversion"/>
  </si>
  <si>
    <t>陈云龙（高级）</t>
    <phoneticPr fontId="12" type="noConversion"/>
  </si>
  <si>
    <t>石曾皓（高级）</t>
    <phoneticPr fontId="12" type="noConversion"/>
  </si>
  <si>
    <t>孟晓晨（高级）</t>
    <phoneticPr fontId="3" type="noConversion"/>
  </si>
  <si>
    <t>杨    峰（高级）</t>
    <phoneticPr fontId="12" type="noConversion"/>
  </si>
  <si>
    <t>朱鹏飞（高级）</t>
    <phoneticPr fontId="12" type="noConversion"/>
  </si>
  <si>
    <t>于芳岳（高级）</t>
    <phoneticPr fontId="12" type="noConversion"/>
  </si>
  <si>
    <t>贾   斌（高级）</t>
    <phoneticPr fontId="12" type="noConversion"/>
  </si>
  <si>
    <t>杨继华(高级）</t>
  </si>
  <si>
    <t>季经纬（高级）</t>
    <phoneticPr fontId="3" type="noConversion"/>
  </si>
  <si>
    <t>解   旭（高级）</t>
    <phoneticPr fontId="12" type="noConversion"/>
  </si>
  <si>
    <t>李明原（高级）</t>
    <phoneticPr fontId="12" type="noConversion"/>
  </si>
  <si>
    <t>张正卿（高级）</t>
    <phoneticPr fontId="12" type="noConversion"/>
  </si>
  <si>
    <t>郭   旭（高级）</t>
    <phoneticPr fontId="12" type="noConversion"/>
  </si>
  <si>
    <t>曾彦杰（高级）</t>
    <phoneticPr fontId="12" type="noConversion"/>
  </si>
  <si>
    <t>陈金辉（高级）</t>
    <phoneticPr fontId="12" type="noConversion"/>
  </si>
  <si>
    <t>朱安乐（高级）</t>
    <phoneticPr fontId="12" type="noConversion"/>
  </si>
  <si>
    <t>杨   磊（高级）</t>
    <phoneticPr fontId="12" type="noConversion"/>
  </si>
  <si>
    <t>吴军平（高级）</t>
    <phoneticPr fontId="12" type="noConversion"/>
  </si>
  <si>
    <t>潘   勇（高级）</t>
    <phoneticPr fontId="12" type="noConversion"/>
  </si>
  <si>
    <t>丁前程（高级）</t>
    <phoneticPr fontId="12" type="noConversion"/>
  </si>
  <si>
    <t>杨招鑫（高级）</t>
    <phoneticPr fontId="12" type="noConversion"/>
  </si>
  <si>
    <t>蔡裕斌（高级）</t>
    <phoneticPr fontId="12" type="noConversion"/>
  </si>
  <si>
    <t>黄   敬（高级）</t>
    <phoneticPr fontId="12" type="noConversion"/>
  </si>
  <si>
    <t>黄赛军（高级）</t>
    <phoneticPr fontId="12" type="noConversion"/>
  </si>
  <si>
    <t>黄泓献（高级）</t>
    <phoneticPr fontId="12" type="noConversion"/>
  </si>
  <si>
    <t xml:space="preserve"> 邱学义（高级）</t>
    <phoneticPr fontId="12" type="noConversion"/>
  </si>
  <si>
    <t>孙伟章 （高级）</t>
    <phoneticPr fontId="3" type="noConversion"/>
  </si>
  <si>
    <t>林   君（高级）</t>
    <phoneticPr fontId="12" type="noConversion"/>
  </si>
  <si>
    <t>郑晓亮（高级）</t>
    <phoneticPr fontId="12" type="noConversion"/>
  </si>
  <si>
    <t>陈华明（高级）</t>
    <phoneticPr fontId="12" type="noConversion"/>
  </si>
  <si>
    <r>
      <t>伍劭辉 (尿液窗口人）（</t>
    </r>
    <r>
      <rPr>
        <sz val="12"/>
        <color indexed="8"/>
        <rFont val="微软雅黑"/>
        <family val="2"/>
        <charset val="134"/>
      </rPr>
      <t>高级</t>
    </r>
    <r>
      <rPr>
        <sz val="12"/>
        <rFont val="微软雅黑"/>
        <family val="2"/>
        <charset val="134"/>
      </rPr>
      <t>）</t>
    </r>
    <phoneticPr fontId="12" type="noConversion"/>
  </si>
  <si>
    <t>于丹（糖化、干生化等窗口人)（高级）</t>
    <phoneticPr fontId="12" type="noConversion"/>
  </si>
  <si>
    <t>施武成（技术专家）</t>
    <phoneticPr fontId="12" type="noConversion"/>
  </si>
  <si>
    <t>缴文婷（培训与保修）（高级）</t>
    <phoneticPr fontId="3" type="noConversion"/>
  </si>
  <si>
    <t>曹秀琼（高级）</t>
    <phoneticPr fontId="12" type="noConversion"/>
  </si>
  <si>
    <t>顾维卿（高级）</t>
    <phoneticPr fontId="12" type="noConversion"/>
  </si>
  <si>
    <t>王   洋（高级）</t>
    <phoneticPr fontId="12" type="noConversion"/>
  </si>
  <si>
    <t>巫   斌（高级）</t>
  </si>
  <si>
    <t>沈   璐（高级）</t>
    <phoneticPr fontId="12" type="noConversion"/>
  </si>
  <si>
    <t>陆懿妹（高级）</t>
    <phoneticPr fontId="12" type="noConversion"/>
  </si>
  <si>
    <t>顾军浩（高级）</t>
    <phoneticPr fontId="10" type="noConversion"/>
  </si>
  <si>
    <t>王方良（高级）</t>
    <phoneticPr fontId="12" type="noConversion"/>
  </si>
  <si>
    <t>徐海芳（高級）</t>
    <phoneticPr fontId="12" type="noConversion"/>
  </si>
  <si>
    <t>陈   嫣（高级）</t>
    <phoneticPr fontId="12" type="noConversion"/>
  </si>
  <si>
    <t>陈   珊（高级）</t>
    <phoneticPr fontId="12" type="noConversion"/>
  </si>
  <si>
    <t>施依娜（高级）</t>
    <phoneticPr fontId="12" type="noConversion"/>
  </si>
  <si>
    <t>肖在飞（主管）*</t>
    <phoneticPr fontId="12" type="noConversion"/>
  </si>
  <si>
    <t>山东</t>
  </si>
  <si>
    <t>刁海彬（高级）</t>
    <phoneticPr fontId="12" type="noConversion"/>
  </si>
  <si>
    <t>石岩松（高级）</t>
    <phoneticPr fontId="12" type="noConversion"/>
  </si>
  <si>
    <t>罗青泉（高级）</t>
    <phoneticPr fontId="12" type="noConversion"/>
  </si>
  <si>
    <t>王定国（高级）</t>
    <phoneticPr fontId="12" type="noConversion"/>
  </si>
  <si>
    <t>张明磊（高级）</t>
    <phoneticPr fontId="12" type="noConversion"/>
  </si>
  <si>
    <t>王   伟（高级）</t>
    <phoneticPr fontId="12" type="noConversion"/>
  </si>
  <si>
    <t>王盛峰（高级）</t>
    <phoneticPr fontId="12" type="noConversion"/>
  </si>
  <si>
    <t>费小天 (高级）</t>
    <phoneticPr fontId="12" type="noConversion"/>
  </si>
  <si>
    <t>陈桂烽（高级）</t>
    <phoneticPr fontId="12" type="noConversion"/>
  </si>
  <si>
    <t>张海峰（高级）</t>
    <phoneticPr fontId="12" type="noConversion"/>
  </si>
  <si>
    <t>李成振（高级）</t>
    <phoneticPr fontId="12" type="noConversion"/>
  </si>
  <si>
    <t>吴   涛（高级）</t>
    <phoneticPr fontId="12" type="noConversion"/>
  </si>
  <si>
    <t>丁同坤（高级）</t>
    <phoneticPr fontId="12" type="noConversion"/>
  </si>
  <si>
    <t>李浦宁（MCC窗口人）(高级）</t>
    <phoneticPr fontId="12" type="noConversion"/>
  </si>
  <si>
    <t>孙言（生免窗口人）（高级）</t>
    <phoneticPr fontId="12" type="noConversion"/>
  </si>
  <si>
    <t>王东伟（技术专家）</t>
    <phoneticPr fontId="12" type="noConversion"/>
  </si>
  <si>
    <t>王晶晶（高级）</t>
    <phoneticPr fontId="12" type="noConversion"/>
  </si>
  <si>
    <t>张文玲（高级）</t>
    <phoneticPr fontId="10" type="noConversion"/>
  </si>
  <si>
    <t>李　刚（主管）*</t>
    <phoneticPr fontId="12" type="noConversion"/>
  </si>
  <si>
    <t>王   力（高级）</t>
    <phoneticPr fontId="12" type="noConversion"/>
  </si>
  <si>
    <t>郑    琴（高级）</t>
    <phoneticPr fontId="12" type="noConversion"/>
  </si>
  <si>
    <t>孙   媛（高级）</t>
    <phoneticPr fontId="12" type="noConversion"/>
  </si>
  <si>
    <t>天津</t>
    <phoneticPr fontId="12" type="noConversion"/>
  </si>
  <si>
    <t>孙   琳（高级）</t>
    <phoneticPr fontId="12" type="noConversion"/>
  </si>
  <si>
    <t>苏德那顺（高级）</t>
    <phoneticPr fontId="3" type="noConversion"/>
  </si>
  <si>
    <t>刘用祥（高级）</t>
    <phoneticPr fontId="12" type="noConversion"/>
  </si>
  <si>
    <t>李亚星（高级）</t>
    <phoneticPr fontId="12" type="noConversion"/>
  </si>
  <si>
    <t>李世强（高级）</t>
    <phoneticPr fontId="12" type="noConversion"/>
  </si>
  <si>
    <t>王学宝（高级）</t>
    <phoneticPr fontId="12" type="noConversion"/>
  </si>
  <si>
    <t>全国</t>
    <phoneticPr fontId="10" type="noConversion"/>
  </si>
  <si>
    <t>赖飞龙（高级）</t>
    <phoneticPr fontId="12" type="noConversion"/>
  </si>
  <si>
    <t>李旻纬（华鑫线+CRP窗口人）</t>
    <phoneticPr fontId="12" type="noConversion"/>
  </si>
  <si>
    <t>夏子琳*（凝血窗口人）(主管）</t>
    <phoneticPr fontId="12" type="noConversion"/>
  </si>
  <si>
    <t>技术课窗口人*（轮流）</t>
    <phoneticPr fontId="12" type="noConversion"/>
  </si>
  <si>
    <t>常莉莉（高级）</t>
    <phoneticPr fontId="12" type="noConversion"/>
  </si>
  <si>
    <t>吴海金（主管）*</t>
    <phoneticPr fontId="12" type="noConversion"/>
  </si>
  <si>
    <t>熊东升（高级）</t>
    <phoneticPr fontId="12" type="noConversion"/>
  </si>
  <si>
    <t>阳淑芬（高级）</t>
    <phoneticPr fontId="12" type="noConversion"/>
  </si>
  <si>
    <t>陈   平（高级）</t>
    <phoneticPr fontId="12" type="noConversion"/>
  </si>
  <si>
    <t>贾   丽（高级）</t>
    <phoneticPr fontId="12" type="noConversion"/>
  </si>
  <si>
    <t>李    航（高级）</t>
    <phoneticPr fontId="12" type="noConversion"/>
  </si>
  <si>
    <t>许安骐（高级）</t>
    <phoneticPr fontId="12" type="noConversion"/>
  </si>
  <si>
    <t>范梦春（高级）</t>
    <phoneticPr fontId="12" type="noConversion"/>
  </si>
  <si>
    <t>赵   伟（高级）</t>
    <phoneticPr fontId="12" type="noConversion"/>
  </si>
  <si>
    <t>王东伟*（尿液窗口人 ）</t>
    <phoneticPr fontId="12" type="noConversion"/>
  </si>
  <si>
    <t>施武成*（流式等窗口人）</t>
    <phoneticPr fontId="12" type="noConversion"/>
  </si>
  <si>
    <t>*市场职能（包括：培训、维护专家和布点、重要项目（如收费等）的推进等）需同时向生免部时昌文总监进行双向汇报&amp;双向MBO考评</t>
    <phoneticPr fontId="12" type="noConversion"/>
  </si>
  <si>
    <t>封   辉（高级）</t>
    <phoneticPr fontId="12" type="noConversion"/>
  </si>
  <si>
    <t>广西</t>
    <phoneticPr fontId="12" type="noConversion"/>
  </si>
  <si>
    <t>林晓东（高级）</t>
    <phoneticPr fontId="12" type="noConversion"/>
  </si>
  <si>
    <t>魏   红（高级）</t>
    <phoneticPr fontId="12" type="noConversion"/>
  </si>
  <si>
    <t>刘   倩（高级）</t>
    <phoneticPr fontId="12" type="noConversion"/>
  </si>
  <si>
    <t>王保亮</t>
    <phoneticPr fontId="12" type="noConversion"/>
  </si>
  <si>
    <t>杨   溢</t>
    <phoneticPr fontId="12" type="noConversion"/>
  </si>
  <si>
    <t>闫瑞聪</t>
    <phoneticPr fontId="12" type="noConversion"/>
  </si>
  <si>
    <t>高晓旭</t>
    <phoneticPr fontId="12" type="noConversion"/>
  </si>
  <si>
    <t>石   茹</t>
    <phoneticPr fontId="12" type="noConversion"/>
  </si>
  <si>
    <t>方   野</t>
    <phoneticPr fontId="12" type="noConversion"/>
  </si>
  <si>
    <t>廖清清</t>
    <phoneticPr fontId="12" type="noConversion"/>
  </si>
  <si>
    <t>焦广俊</t>
    <phoneticPr fontId="12" type="noConversion"/>
  </si>
  <si>
    <t>卢振韬</t>
    <phoneticPr fontId="12" type="noConversion"/>
  </si>
  <si>
    <t>杜锦辉</t>
    <phoneticPr fontId="12" type="noConversion"/>
  </si>
  <si>
    <t>焦超伟</t>
    <phoneticPr fontId="12" type="noConversion"/>
  </si>
  <si>
    <t>王立明</t>
    <phoneticPr fontId="12" type="noConversion"/>
  </si>
  <si>
    <t>甘青宁生免产线</t>
    <phoneticPr fontId="12" type="noConversion"/>
  </si>
  <si>
    <t>李小叶</t>
    <phoneticPr fontId="12" type="noConversion"/>
  </si>
  <si>
    <t>陕西生免产线</t>
    <phoneticPr fontId="12" type="noConversion"/>
  </si>
  <si>
    <t>高   强</t>
    <phoneticPr fontId="12" type="noConversion"/>
  </si>
  <si>
    <t>内蒙古生免产线</t>
    <phoneticPr fontId="12" type="noConversion"/>
  </si>
  <si>
    <t>邓鸿翔</t>
    <phoneticPr fontId="12" type="noConversion"/>
  </si>
  <si>
    <t>卜胜芳</t>
    <phoneticPr fontId="12" type="noConversion"/>
  </si>
  <si>
    <t>张   珍</t>
    <phoneticPr fontId="12" type="noConversion"/>
  </si>
  <si>
    <t>武   彬</t>
    <phoneticPr fontId="12" type="noConversion"/>
  </si>
  <si>
    <t>周   玲</t>
    <phoneticPr fontId="12" type="noConversion"/>
  </si>
  <si>
    <t>黄骏程</t>
    <phoneticPr fontId="12" type="noConversion"/>
  </si>
  <si>
    <t>韩君志</t>
    <phoneticPr fontId="12" type="noConversion"/>
  </si>
  <si>
    <t>林翠婷</t>
    <phoneticPr fontId="12" type="noConversion"/>
  </si>
  <si>
    <t>周    继</t>
    <phoneticPr fontId="12" type="noConversion"/>
  </si>
  <si>
    <t>袁嘉翼</t>
    <phoneticPr fontId="12" type="noConversion"/>
  </si>
  <si>
    <t>刘国涛</t>
    <phoneticPr fontId="12" type="noConversion"/>
  </si>
  <si>
    <t>谭    静</t>
    <phoneticPr fontId="12" type="noConversion"/>
  </si>
  <si>
    <t>廖德政</t>
    <phoneticPr fontId="12" type="noConversion"/>
  </si>
  <si>
    <t>刘韩轩</t>
    <phoneticPr fontId="12" type="noConversion"/>
  </si>
  <si>
    <t>曹胜男</t>
    <phoneticPr fontId="12" type="noConversion"/>
  </si>
  <si>
    <t>潘国梁</t>
    <phoneticPr fontId="12" type="noConversion"/>
  </si>
  <si>
    <t>逯云龙</t>
    <phoneticPr fontId="12" type="noConversion"/>
  </si>
  <si>
    <t>刘   杨</t>
    <phoneticPr fontId="12" type="noConversion"/>
  </si>
  <si>
    <t>吉林、黑龙江</t>
    <phoneticPr fontId="12" type="noConversion"/>
  </si>
  <si>
    <t>魏燕琳</t>
    <phoneticPr fontId="12" type="noConversion"/>
  </si>
  <si>
    <t>丁倩文</t>
    <phoneticPr fontId="12" type="noConversion"/>
  </si>
  <si>
    <t>付   娟</t>
    <phoneticPr fontId="12" type="noConversion"/>
  </si>
  <si>
    <t>周   艳</t>
    <phoneticPr fontId="12" type="noConversion"/>
  </si>
  <si>
    <t>刘   诚</t>
    <phoneticPr fontId="12" type="noConversion"/>
  </si>
  <si>
    <t>于泽洋</t>
    <phoneticPr fontId="3" type="noConversion"/>
  </si>
  <si>
    <t>高   炜</t>
    <phoneticPr fontId="12" type="noConversion"/>
  </si>
  <si>
    <t>张裕浦</t>
    <phoneticPr fontId="12" type="noConversion"/>
  </si>
  <si>
    <t>徐   驰</t>
    <phoneticPr fontId="12" type="noConversion"/>
  </si>
  <si>
    <t>黄   兴</t>
    <phoneticPr fontId="12" type="noConversion"/>
  </si>
  <si>
    <t>张    洋</t>
    <phoneticPr fontId="12" type="noConversion"/>
  </si>
  <si>
    <t>高   臣</t>
    <phoneticPr fontId="12" type="noConversion"/>
  </si>
  <si>
    <t>赵   越</t>
    <phoneticPr fontId="12" type="noConversion"/>
  </si>
  <si>
    <t>李瑞强</t>
    <phoneticPr fontId="12" type="noConversion"/>
  </si>
  <si>
    <t>路   宇</t>
    <phoneticPr fontId="12" type="noConversion"/>
  </si>
  <si>
    <t>白子瑛</t>
    <phoneticPr fontId="12" type="noConversion"/>
  </si>
  <si>
    <t>李晨锐</t>
    <phoneticPr fontId="12" type="noConversion"/>
  </si>
  <si>
    <t>张广渊</t>
    <phoneticPr fontId="12" type="noConversion"/>
  </si>
  <si>
    <t>李   洋</t>
    <phoneticPr fontId="12" type="noConversion"/>
  </si>
  <si>
    <t>吴   晗</t>
    <phoneticPr fontId="12" type="noConversion"/>
  </si>
  <si>
    <t>杨   华</t>
    <phoneticPr fontId="12" type="noConversion"/>
  </si>
  <si>
    <t>孙华仁</t>
    <phoneticPr fontId="12" type="noConversion"/>
  </si>
  <si>
    <t>徐   溪</t>
    <phoneticPr fontId="12" type="noConversion"/>
  </si>
  <si>
    <t>杨奕杰</t>
    <phoneticPr fontId="12" type="noConversion"/>
  </si>
  <si>
    <t>饶健峰</t>
    <phoneticPr fontId="12" type="noConversion"/>
  </si>
  <si>
    <t>陈庆鹏</t>
    <phoneticPr fontId="12" type="noConversion"/>
  </si>
  <si>
    <t>蔡仲明</t>
    <phoneticPr fontId="12" type="noConversion"/>
  </si>
  <si>
    <t>王中位</t>
    <phoneticPr fontId="12" type="noConversion"/>
  </si>
  <si>
    <t>刘庆正</t>
    <phoneticPr fontId="12" type="noConversion"/>
  </si>
  <si>
    <t>陈源斌</t>
    <phoneticPr fontId="12" type="noConversion"/>
  </si>
  <si>
    <t>耿   帅</t>
    <phoneticPr fontId="12" type="noConversion"/>
  </si>
  <si>
    <t>刘    炯</t>
    <phoneticPr fontId="12" type="noConversion"/>
  </si>
  <si>
    <t>温智翔</t>
    <phoneticPr fontId="12" type="noConversion"/>
  </si>
  <si>
    <t>严   晨</t>
    <phoneticPr fontId="12" type="noConversion"/>
  </si>
  <si>
    <t>卜曼娜</t>
    <phoneticPr fontId="12" type="noConversion"/>
  </si>
  <si>
    <t>王蓓妮</t>
    <phoneticPr fontId="10" type="noConversion"/>
  </si>
  <si>
    <t>李承林</t>
  </si>
  <si>
    <t>马思佳</t>
    <phoneticPr fontId="12" type="noConversion"/>
  </si>
  <si>
    <t>许   红</t>
    <phoneticPr fontId="12" type="noConversion"/>
  </si>
  <si>
    <t>张晓敏</t>
  </si>
  <si>
    <t>费丽娟</t>
  </si>
  <si>
    <r>
      <t>刘思凡</t>
    </r>
    <r>
      <rPr>
        <sz val="11"/>
        <rFont val="微软雅黑"/>
        <family val="2"/>
        <charset val="134"/>
      </rPr>
      <t>（总部名额）</t>
    </r>
    <phoneticPr fontId="12" type="noConversion"/>
  </si>
  <si>
    <t>葛   亮</t>
    <phoneticPr fontId="10" type="noConversion"/>
  </si>
  <si>
    <t>刘建青</t>
  </si>
  <si>
    <t>赵光强</t>
  </si>
  <si>
    <t>徐   萍</t>
  </si>
  <si>
    <t>朱   洁</t>
    <phoneticPr fontId="12" type="noConversion"/>
  </si>
  <si>
    <t>姚慧凝</t>
    <phoneticPr fontId="12" type="noConversion"/>
  </si>
  <si>
    <t>陈文娟</t>
    <phoneticPr fontId="12" type="noConversion"/>
  </si>
  <si>
    <t>滕雨辰</t>
    <phoneticPr fontId="12" type="noConversion"/>
  </si>
  <si>
    <t>陆    蓓</t>
    <phoneticPr fontId="12" type="noConversion"/>
  </si>
  <si>
    <t>刘佳怡</t>
  </si>
  <si>
    <t>张诗颖</t>
    <phoneticPr fontId="12" type="noConversion"/>
  </si>
  <si>
    <t>于扶摇（高级）*</t>
    <phoneticPr fontId="12" type="noConversion"/>
  </si>
  <si>
    <t>黑吉</t>
    <phoneticPr fontId="12" type="noConversion"/>
  </si>
  <si>
    <t>陈耀锋（高级）</t>
    <phoneticPr fontId="12" type="noConversion"/>
  </si>
  <si>
    <t>高昌浩（高级）</t>
    <phoneticPr fontId="12" type="noConversion"/>
  </si>
  <si>
    <t>樊   兴</t>
    <phoneticPr fontId="12" type="noConversion"/>
  </si>
  <si>
    <t>代昌斌</t>
    <phoneticPr fontId="12" type="noConversion"/>
  </si>
  <si>
    <t>鹿世全</t>
    <phoneticPr fontId="12" type="noConversion"/>
  </si>
  <si>
    <t>周   昕</t>
    <phoneticPr fontId="12" type="noConversion"/>
  </si>
  <si>
    <t>重庆生免产线</t>
    <phoneticPr fontId="12" type="noConversion"/>
  </si>
  <si>
    <t>张敏杰</t>
    <phoneticPr fontId="12" type="noConversion"/>
  </si>
  <si>
    <t>江余鸣</t>
    <phoneticPr fontId="12" type="noConversion"/>
  </si>
  <si>
    <t>周文超</t>
    <phoneticPr fontId="12" type="noConversion"/>
  </si>
  <si>
    <t>陈   春</t>
    <phoneticPr fontId="12" type="noConversion"/>
  </si>
  <si>
    <t>沈帅志</t>
    <phoneticPr fontId="12" type="noConversion"/>
  </si>
  <si>
    <t>内蒙古</t>
  </si>
  <si>
    <t>易   村</t>
    <phoneticPr fontId="12" type="noConversion"/>
  </si>
  <si>
    <t>王修莙</t>
    <phoneticPr fontId="12" type="noConversion"/>
  </si>
  <si>
    <t>刘表平</t>
    <phoneticPr fontId="12" type="noConversion"/>
  </si>
  <si>
    <t>刘壹萍</t>
    <phoneticPr fontId="12" type="noConversion"/>
  </si>
  <si>
    <t>朱琼才</t>
    <phoneticPr fontId="12" type="noConversion"/>
  </si>
  <si>
    <t>杨   光</t>
    <phoneticPr fontId="12" type="noConversion"/>
  </si>
  <si>
    <t>谢艳芳</t>
    <phoneticPr fontId="12" type="noConversion"/>
  </si>
  <si>
    <t>罗才锦</t>
    <phoneticPr fontId="12" type="noConversion"/>
  </si>
  <si>
    <t>胡依哲</t>
    <phoneticPr fontId="12" type="noConversion"/>
  </si>
  <si>
    <t>曹骏洲</t>
    <phoneticPr fontId="12" type="noConversion"/>
  </si>
  <si>
    <t>陈   维</t>
    <phoneticPr fontId="12" type="noConversion"/>
  </si>
  <si>
    <t>梁   斌</t>
    <phoneticPr fontId="12" type="noConversion"/>
  </si>
  <si>
    <t>周国亮</t>
    <phoneticPr fontId="12" type="noConversion"/>
  </si>
  <si>
    <t>卢福辉</t>
    <phoneticPr fontId="12" type="noConversion"/>
  </si>
  <si>
    <t>（       ）</t>
    <phoneticPr fontId="12" type="noConversion"/>
  </si>
  <si>
    <t>李   倩</t>
    <phoneticPr fontId="12" type="noConversion"/>
  </si>
  <si>
    <t>陕西、内蒙部分</t>
    <phoneticPr fontId="12" type="noConversion"/>
  </si>
  <si>
    <t>云南、贵州</t>
    <phoneticPr fontId="12" type="noConversion"/>
  </si>
  <si>
    <t>周彩薇</t>
    <phoneticPr fontId="12" type="noConversion"/>
  </si>
  <si>
    <t>王海军</t>
    <phoneticPr fontId="12" type="noConversion"/>
  </si>
  <si>
    <t>李广德</t>
    <phoneticPr fontId="12" type="noConversion"/>
  </si>
  <si>
    <t>李鹏程</t>
    <phoneticPr fontId="3" type="noConversion"/>
  </si>
  <si>
    <t>张超君</t>
    <phoneticPr fontId="12" type="noConversion"/>
  </si>
  <si>
    <t>郭   智</t>
    <phoneticPr fontId="12" type="noConversion"/>
  </si>
  <si>
    <t>王   亮</t>
    <phoneticPr fontId="12" type="noConversion"/>
  </si>
  <si>
    <t>李振军</t>
    <phoneticPr fontId="12" type="noConversion"/>
  </si>
  <si>
    <t>王新智</t>
    <phoneticPr fontId="12" type="noConversion"/>
  </si>
  <si>
    <t>毛松磊</t>
    <phoneticPr fontId="12" type="noConversion"/>
  </si>
  <si>
    <t>吴靖涛</t>
    <phoneticPr fontId="12" type="noConversion"/>
  </si>
  <si>
    <t>陈庆节</t>
    <phoneticPr fontId="12" type="noConversion"/>
  </si>
  <si>
    <t>孙富鑫</t>
    <phoneticPr fontId="12" type="noConversion"/>
  </si>
  <si>
    <t>瞿肖凡</t>
    <phoneticPr fontId="12" type="noConversion"/>
  </si>
  <si>
    <t>尹秋红</t>
    <phoneticPr fontId="12" type="noConversion"/>
  </si>
  <si>
    <t>俞   程</t>
    <phoneticPr fontId="12" type="noConversion"/>
  </si>
  <si>
    <t>梁   任</t>
    <phoneticPr fontId="12" type="noConversion"/>
  </si>
  <si>
    <t>孙   健</t>
    <phoneticPr fontId="12" type="noConversion"/>
  </si>
  <si>
    <t>何文波</t>
    <phoneticPr fontId="12" type="noConversion"/>
  </si>
  <si>
    <t xml:space="preserve"> 薛   鹏</t>
    <phoneticPr fontId="12" type="noConversion"/>
  </si>
  <si>
    <t>卫韵露</t>
    <phoneticPr fontId="12" type="noConversion"/>
  </si>
  <si>
    <t>昌建芬</t>
    <phoneticPr fontId="12" type="noConversion"/>
  </si>
  <si>
    <t>张玉娜</t>
    <phoneticPr fontId="12" type="noConversion"/>
  </si>
  <si>
    <t>蔡丽玮</t>
  </si>
  <si>
    <t>王婧怡</t>
    <phoneticPr fontId="10" type="noConversion"/>
  </si>
  <si>
    <t>陈宇明</t>
    <phoneticPr fontId="12" type="noConversion"/>
  </si>
  <si>
    <t>金   晶</t>
    <phoneticPr fontId="12" type="noConversion"/>
  </si>
  <si>
    <t>黄忱婷</t>
    <phoneticPr fontId="10" type="noConversion"/>
  </si>
  <si>
    <t>徐剑锋</t>
    <phoneticPr fontId="12" type="noConversion"/>
  </si>
  <si>
    <t>张梦彧（高级）*</t>
    <phoneticPr fontId="12" type="noConversion"/>
  </si>
  <si>
    <t>河北生免产线</t>
    <phoneticPr fontId="12" type="noConversion"/>
  </si>
  <si>
    <t>安徽生免产线</t>
    <phoneticPr fontId="12" type="noConversion"/>
  </si>
  <si>
    <t>董国强</t>
    <phoneticPr fontId="12" type="noConversion"/>
  </si>
  <si>
    <t>徐祥斌</t>
    <phoneticPr fontId="12" type="noConversion"/>
  </si>
  <si>
    <t>蒋    瑜</t>
    <phoneticPr fontId="12" type="noConversion"/>
  </si>
  <si>
    <t>龚   璇</t>
    <phoneticPr fontId="12" type="noConversion"/>
  </si>
  <si>
    <t>赵树林</t>
    <phoneticPr fontId="12" type="noConversion"/>
  </si>
  <si>
    <t>湖北生免产线</t>
    <phoneticPr fontId="12" type="noConversion"/>
  </si>
  <si>
    <t>刘   飞</t>
    <phoneticPr fontId="12" type="noConversion"/>
  </si>
  <si>
    <t>河南生免产线</t>
    <phoneticPr fontId="12" type="noConversion"/>
  </si>
  <si>
    <t>山西生免产线</t>
    <phoneticPr fontId="12" type="noConversion"/>
  </si>
  <si>
    <t>罗清清</t>
    <phoneticPr fontId="12" type="noConversion"/>
  </si>
  <si>
    <t>王凯文</t>
    <phoneticPr fontId="12" type="noConversion"/>
  </si>
  <si>
    <t>广西生免产线</t>
    <phoneticPr fontId="12" type="noConversion"/>
  </si>
  <si>
    <t>陈旭烽</t>
    <phoneticPr fontId="12" type="noConversion"/>
  </si>
  <si>
    <t>云贵生免产线*</t>
    <phoneticPr fontId="12" type="noConversion"/>
  </si>
  <si>
    <t>褚伟凡</t>
    <phoneticPr fontId="12" type="noConversion"/>
  </si>
  <si>
    <t>路文彬</t>
    <phoneticPr fontId="12" type="noConversion"/>
  </si>
  <si>
    <t>周瑞官</t>
    <phoneticPr fontId="12" type="noConversion"/>
  </si>
  <si>
    <t>郭翠颖</t>
    <phoneticPr fontId="12" type="noConversion"/>
  </si>
  <si>
    <t>王薛婷</t>
    <phoneticPr fontId="12" type="noConversion"/>
  </si>
  <si>
    <t>佀雨昂</t>
    <phoneticPr fontId="12" type="noConversion"/>
  </si>
  <si>
    <t>郑成栋</t>
    <phoneticPr fontId="12" type="noConversion"/>
  </si>
  <si>
    <t>高   英</t>
    <phoneticPr fontId="12" type="noConversion"/>
  </si>
  <si>
    <t>蔡刘伟</t>
    <phoneticPr fontId="12" type="noConversion"/>
  </si>
  <si>
    <t>李向东</t>
    <phoneticPr fontId="12" type="noConversion"/>
  </si>
  <si>
    <t>秦安东</t>
    <phoneticPr fontId="12" type="noConversion"/>
  </si>
  <si>
    <t>吴柏松</t>
    <phoneticPr fontId="12" type="noConversion"/>
  </si>
  <si>
    <t>洪斐文</t>
    <phoneticPr fontId="3" type="noConversion"/>
  </si>
  <si>
    <t>黄春霞</t>
  </si>
  <si>
    <t>杨金霖（高级）*</t>
    <phoneticPr fontId="12" type="noConversion"/>
  </si>
  <si>
    <t>山东生免产线</t>
    <phoneticPr fontId="10" type="noConversion"/>
  </si>
  <si>
    <t>天津生免产线</t>
    <phoneticPr fontId="12" type="noConversion"/>
  </si>
  <si>
    <t>江苏生免产线</t>
    <phoneticPr fontId="12" type="noConversion"/>
  </si>
  <si>
    <t>陈   潇</t>
    <phoneticPr fontId="12" type="noConversion"/>
  </si>
  <si>
    <t>四川生免产线</t>
    <phoneticPr fontId="12" type="noConversion"/>
  </si>
  <si>
    <t>新疆生免产线</t>
    <phoneticPr fontId="12" type="noConversion"/>
  </si>
  <si>
    <t>刘行强</t>
    <phoneticPr fontId="12" type="noConversion"/>
  </si>
  <si>
    <t>冯祥飞</t>
    <phoneticPr fontId="12" type="noConversion"/>
  </si>
  <si>
    <t>福建生免产线</t>
    <phoneticPr fontId="12" type="noConversion"/>
  </si>
  <si>
    <t>胡碧容</t>
    <phoneticPr fontId="12" type="noConversion"/>
  </si>
  <si>
    <t>深海生免产线</t>
    <phoneticPr fontId="12" type="noConversion"/>
  </si>
  <si>
    <t>张贤富</t>
    <phoneticPr fontId="12" type="noConversion"/>
  </si>
  <si>
    <t>徐镇平</t>
    <phoneticPr fontId="12" type="noConversion"/>
  </si>
  <si>
    <t>孙   锋</t>
    <phoneticPr fontId="12" type="noConversion"/>
  </si>
  <si>
    <t>周长健</t>
    <phoneticPr fontId="12" type="noConversion"/>
  </si>
  <si>
    <t>尚子琦</t>
    <phoneticPr fontId="12" type="noConversion"/>
  </si>
  <si>
    <t>马文龙（高级）*</t>
    <phoneticPr fontId="12" type="noConversion"/>
  </si>
  <si>
    <t>谭香香</t>
    <phoneticPr fontId="12" type="noConversion"/>
  </si>
  <si>
    <t>魏忠丽</t>
    <phoneticPr fontId="12" type="noConversion"/>
  </si>
  <si>
    <t>郭亚伟</t>
    <phoneticPr fontId="12" type="noConversion"/>
  </si>
  <si>
    <t>刘   敏</t>
    <phoneticPr fontId="12" type="noConversion"/>
  </si>
  <si>
    <t>吕百喜</t>
    <phoneticPr fontId="3" type="noConversion"/>
  </si>
  <si>
    <t>章曦凯</t>
    <phoneticPr fontId="12" type="noConversion"/>
  </si>
  <si>
    <t>周   钢</t>
    <phoneticPr fontId="12" type="noConversion"/>
  </si>
  <si>
    <t>牛   睿</t>
    <phoneticPr fontId="12" type="noConversion"/>
  </si>
  <si>
    <t>杨   彬</t>
    <phoneticPr fontId="12" type="noConversion"/>
  </si>
  <si>
    <t>云贵生免产线</t>
    <phoneticPr fontId="12" type="noConversion"/>
  </si>
  <si>
    <t>柳亚雄</t>
    <phoneticPr fontId="12" type="noConversion"/>
  </si>
  <si>
    <t>王凯文*</t>
    <phoneticPr fontId="12" type="noConversion"/>
  </si>
  <si>
    <t>周   斌</t>
    <phoneticPr fontId="12" type="noConversion"/>
  </si>
  <si>
    <t>黄海波</t>
    <phoneticPr fontId="12" type="noConversion"/>
  </si>
  <si>
    <t>毛辉城</t>
    <phoneticPr fontId="12" type="noConversion"/>
  </si>
  <si>
    <t>尹玉重</t>
    <phoneticPr fontId="12" type="noConversion"/>
  </si>
  <si>
    <t>张亚东</t>
    <phoneticPr fontId="12" type="noConversion"/>
  </si>
  <si>
    <t>陈佳琦</t>
    <phoneticPr fontId="12" type="noConversion"/>
  </si>
  <si>
    <t>王静静</t>
    <phoneticPr fontId="12" type="noConversion"/>
  </si>
  <si>
    <t>马晓龙</t>
    <phoneticPr fontId="12" type="noConversion"/>
  </si>
  <si>
    <t>陈   潇*</t>
    <phoneticPr fontId="12" type="noConversion"/>
  </si>
  <si>
    <t>江镇新</t>
    <phoneticPr fontId="12" type="noConversion"/>
  </si>
  <si>
    <t>桂   尧</t>
    <phoneticPr fontId="12" type="noConversion"/>
  </si>
  <si>
    <t>于   松</t>
    <phoneticPr fontId="12" type="noConversion"/>
  </si>
  <si>
    <t>王丽丽</t>
    <phoneticPr fontId="12" type="noConversion"/>
  </si>
  <si>
    <t>左明远</t>
    <phoneticPr fontId="12" type="noConversion"/>
  </si>
  <si>
    <t>杨小珊</t>
    <phoneticPr fontId="12" type="noConversion"/>
  </si>
  <si>
    <t>王西雅</t>
    <phoneticPr fontId="12" type="noConversion"/>
  </si>
  <si>
    <t>辽宁生免产线</t>
    <phoneticPr fontId="10" type="noConversion"/>
  </si>
  <si>
    <t>广东生免产线</t>
    <phoneticPr fontId="12" type="noConversion"/>
  </si>
  <si>
    <t>李小叶*</t>
    <phoneticPr fontId="12" type="noConversion"/>
  </si>
  <si>
    <t>王婷茹</t>
    <phoneticPr fontId="12" type="noConversion"/>
  </si>
  <si>
    <t>谢茂庭</t>
    <phoneticPr fontId="12" type="noConversion"/>
  </si>
  <si>
    <t>李文慧</t>
    <phoneticPr fontId="12" type="noConversion"/>
  </si>
  <si>
    <t>陈万喜</t>
    <phoneticPr fontId="12" type="noConversion"/>
  </si>
  <si>
    <t>李   睿</t>
    <phoneticPr fontId="12" type="noConversion"/>
  </si>
  <si>
    <t>张   利</t>
    <phoneticPr fontId="12" type="noConversion"/>
  </si>
  <si>
    <t>高   强*</t>
    <phoneticPr fontId="12" type="noConversion"/>
  </si>
  <si>
    <t>方浩松</t>
    <phoneticPr fontId="12" type="noConversion"/>
  </si>
  <si>
    <t>万志立</t>
    <phoneticPr fontId="12" type="noConversion"/>
  </si>
  <si>
    <t>李悦涵</t>
    <phoneticPr fontId="12" type="noConversion"/>
  </si>
  <si>
    <t>宁雪梦</t>
    <phoneticPr fontId="12" type="noConversion"/>
  </si>
  <si>
    <t>陈志航</t>
    <phoneticPr fontId="12" type="noConversion"/>
  </si>
  <si>
    <t>郎婷婷</t>
    <phoneticPr fontId="12" type="noConversion"/>
  </si>
  <si>
    <t>王立明*</t>
    <phoneticPr fontId="12" type="noConversion"/>
  </si>
  <si>
    <t>黄明森</t>
    <phoneticPr fontId="12" type="noConversion"/>
  </si>
  <si>
    <t>阳   瑜</t>
    <phoneticPr fontId="12" type="noConversion"/>
  </si>
  <si>
    <t>余艳青</t>
    <phoneticPr fontId="12" type="noConversion"/>
  </si>
  <si>
    <t>张晓洋</t>
    <phoneticPr fontId="12" type="noConversion"/>
  </si>
  <si>
    <t>冯祥飞*</t>
    <phoneticPr fontId="12" type="noConversion"/>
  </si>
  <si>
    <t>李国敏</t>
    <phoneticPr fontId="12" type="noConversion"/>
  </si>
  <si>
    <t>袁梦雪</t>
    <phoneticPr fontId="12" type="noConversion"/>
  </si>
  <si>
    <t>张成颖</t>
    <phoneticPr fontId="12" type="noConversion"/>
  </si>
  <si>
    <t>SNCS</t>
    <phoneticPr fontId="12" type="noConversion"/>
  </si>
  <si>
    <t>王   洁</t>
    <phoneticPr fontId="12" type="noConversion"/>
  </si>
  <si>
    <t>（     ）*</t>
    <phoneticPr fontId="12" type="noConversion"/>
  </si>
  <si>
    <t>王永超</t>
    <phoneticPr fontId="12" type="noConversion"/>
  </si>
  <si>
    <t xml:space="preserve">          二组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</si>
</sst>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微软雅黑"/>
      <family val="2"/>
      <charset val="134"/>
    </font>
    <font>
      <sz val="6"/>
      <name val="ＭＳ Ｐゴシック"/>
      <family val="2"/>
      <charset val="128"/>
    </font>
    <font>
      <sz val="12"/>
      <color theme="1"/>
      <name val="等线"/>
      <family val="2"/>
      <scheme val="minor"/>
    </font>
    <font>
      <sz val="12"/>
      <color indexed="8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</font>
    <font>
      <sz val="12"/>
      <color rgb="FFFF0000"/>
      <name val="微软雅黑"/>
      <family val="2"/>
      <charset val="134"/>
    </font>
    <font>
      <sz val="9"/>
      <name val="等线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ＭＳ Ｐゴシック"/>
      <family val="2"/>
    </font>
    <font>
      <sz val="12"/>
      <name val="Arial"/>
      <family val="2"/>
    </font>
    <font>
      <sz val="12"/>
      <color rgb="FF0000CC"/>
      <name val="微软雅黑"/>
      <family val="2"/>
      <charset val="134"/>
    </font>
    <font>
      <sz val="1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FF0000"/>
      <name val="等线"/>
      <family val="3"/>
      <charset val="134"/>
      <scheme val="minor"/>
    </font>
    <font>
      <sz val="12"/>
      <color indexed="10"/>
      <name val="微软雅黑"/>
      <family val="2"/>
      <charset val="134"/>
    </font>
    <font>
      <sz val="12"/>
      <color theme="4" tint="-0.499984740745262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rgb="FF0000FF"/>
      <name val="微软雅黑"/>
      <family val="2"/>
      <charset val="134"/>
    </font>
    <font>
      <sz val="12"/>
      <color rgb="FFFF0000"/>
      <name val="等线"/>
      <family val="2"/>
      <scheme val="minor"/>
    </font>
    <font>
      <sz val="11"/>
      <color rgb="FFFF0000"/>
      <name val="微软雅黑"/>
      <family val="2"/>
      <charset val="134"/>
    </font>
    <font>
      <sz val="12"/>
      <color theme="0" tint="-0.499984740745262"/>
      <name val="微软雅黑"/>
      <family val="2"/>
      <charset val="134"/>
    </font>
    <font>
      <sz val="12"/>
      <color theme="1" tint="4.9989318521683403E-2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theme="0" tint="-0.34998626667073579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name val="等线"/>
      <family val="3"/>
      <charset val="134"/>
      <scheme val="minor"/>
    </font>
    <font>
      <sz val="12"/>
      <name val="等线"/>
      <family val="2"/>
      <scheme val="minor"/>
    </font>
    <font>
      <b/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1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indexed="81"/>
      <name val="微软雅黑"/>
      <family val="2"/>
      <charset val="134"/>
    </font>
    <font>
      <sz val="10"/>
      <color indexed="81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DD7EE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FF"/>
      </left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FF"/>
      </right>
      <top style="thin">
        <color indexed="64"/>
      </top>
      <bottom/>
      <diagonal/>
    </border>
    <border>
      <left style="thin">
        <color rgb="FF0000FF"/>
      </left>
      <right/>
      <top/>
      <bottom style="thin">
        <color rgb="FF0000FF"/>
      </bottom>
      <diagonal/>
    </border>
    <border>
      <left/>
      <right style="thin">
        <color rgb="FF0000FF"/>
      </right>
      <top/>
      <bottom style="thin">
        <color rgb="FF0000F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</cellStyleXfs>
  <cellXfs count="461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6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9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7" fillId="6" borderId="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11" fillId="0" borderId="0" xfId="0" applyFont="1"/>
    <xf numFmtId="0" fontId="4" fillId="0" borderId="0" xfId="0" applyFont="1"/>
    <xf numFmtId="0" fontId="8" fillId="0" borderId="1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0" fillId="0" borderId="6" xfId="0" applyBorder="1"/>
    <xf numFmtId="0" fontId="0" fillId="0" borderId="1" xfId="0" applyBorder="1"/>
    <xf numFmtId="0" fontId="0" fillId="0" borderId="10" xfId="0" applyBorder="1"/>
    <xf numFmtId="0" fontId="4" fillId="0" borderId="0" xfId="1" applyFont="1" applyFill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5" xfId="0" applyFont="1" applyBorder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2" xfId="0" applyBorder="1"/>
    <xf numFmtId="0" fontId="0" fillId="0" borderId="13" xfId="0" applyBorder="1"/>
    <xf numFmtId="0" fontId="14" fillId="0" borderId="0" xfId="0" applyFont="1"/>
    <xf numFmtId="0" fontId="0" fillId="0" borderId="3" xfId="0" applyBorder="1"/>
    <xf numFmtId="0" fontId="0" fillId="0" borderId="4" xfId="0" applyBorder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6" borderId="2" xfId="4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6" borderId="0" xfId="3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8" fillId="0" borderId="0" xfId="1" applyFont="1" applyFill="1" applyBorder="1" applyAlignment="1">
      <alignment horizontal="center" vertical="center" wrapText="1"/>
    </xf>
    <xf numFmtId="0" fontId="6" fillId="0" borderId="5" xfId="0" applyFont="1" applyBorder="1"/>
    <xf numFmtId="0" fontId="8" fillId="0" borderId="5" xfId="0" applyFont="1" applyBorder="1" applyAlignment="1">
      <alignment horizontal="center" vertical="center"/>
    </xf>
    <xf numFmtId="0" fontId="16" fillId="0" borderId="1" xfId="0" applyFont="1" applyBorder="1"/>
    <xf numFmtId="0" fontId="9" fillId="0" borderId="6" xfId="0" applyFont="1" applyBorder="1"/>
    <xf numFmtId="0" fontId="6" fillId="0" borderId="6" xfId="0" applyFont="1" applyBorder="1"/>
    <xf numFmtId="0" fontId="4" fillId="6" borderId="0" xfId="0" applyFont="1" applyFill="1" applyAlignment="1">
      <alignment horizontal="center" vertical="center" wrapText="1"/>
    </xf>
    <xf numFmtId="0" fontId="4" fillId="6" borderId="0" xfId="4" applyFont="1" applyFill="1" applyAlignment="1">
      <alignment horizontal="center" vertical="center"/>
    </xf>
    <xf numFmtId="0" fontId="11" fillId="6" borderId="0" xfId="3" applyFont="1" applyFill="1" applyAlignment="1">
      <alignment horizontal="center" vertical="center" wrapText="1"/>
    </xf>
    <xf numFmtId="0" fontId="11" fillId="6" borderId="0" xfId="3" applyFont="1" applyFill="1" applyAlignment="1">
      <alignment horizontal="left" vertical="center"/>
    </xf>
    <xf numFmtId="0" fontId="4" fillId="0" borderId="5" xfId="3" applyFont="1" applyBorder="1" applyAlignment="1">
      <alignment horizontal="center" vertical="center" wrapText="1"/>
    </xf>
    <xf numFmtId="0" fontId="4" fillId="0" borderId="0" xfId="4" applyFont="1" applyAlignment="1">
      <alignment horizontal="center" vertical="center"/>
    </xf>
    <xf numFmtId="0" fontId="4" fillId="0" borderId="0" xfId="3" applyFont="1">
      <alignment vertical="center"/>
    </xf>
    <xf numFmtId="0" fontId="8" fillId="0" borderId="0" xfId="1" applyFont="1" applyFill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4" fillId="0" borderId="0" xfId="4" applyFont="1">
      <alignment vertical="center"/>
    </xf>
    <xf numFmtId="0" fontId="4" fillId="4" borderId="5" xfId="3" applyFont="1" applyFill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4" fillId="6" borderId="0" xfId="4" applyFont="1" applyFill="1">
      <alignment vertical="center"/>
    </xf>
    <xf numFmtId="0" fontId="17" fillId="6" borderId="0" xfId="3" applyFont="1" applyFill="1" applyAlignment="1">
      <alignment horizontal="left" vertical="center"/>
    </xf>
    <xf numFmtId="0" fontId="17" fillId="0" borderId="0" xfId="3" applyFont="1" applyAlignment="1">
      <alignment horizontal="center" vertical="center" wrapText="1"/>
    </xf>
    <xf numFmtId="0" fontId="6" fillId="0" borderId="3" xfId="0" applyFont="1" applyBorder="1"/>
    <xf numFmtId="0" fontId="8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8" fillId="0" borderId="0" xfId="0" applyFont="1"/>
    <xf numFmtId="0" fontId="14" fillId="0" borderId="0" xfId="0" applyFont="1" applyAlignment="1">
      <alignment vertical="center"/>
    </xf>
    <xf numFmtId="0" fontId="4" fillId="6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11" fillId="0" borderId="0" xfId="4" applyFont="1">
      <alignment vertical="center"/>
    </xf>
    <xf numFmtId="0" fontId="4" fillId="0" borderId="3" xfId="3" applyFont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8" fillId="4" borderId="1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left" vertical="center"/>
    </xf>
    <xf numFmtId="0" fontId="4" fillId="0" borderId="13" xfId="4" applyFont="1" applyBorder="1">
      <alignment vertical="center"/>
    </xf>
    <xf numFmtId="0" fontId="17" fillId="6" borderId="0" xfId="3" applyFont="1" applyFill="1" applyAlignment="1">
      <alignment vertical="center" wrapText="1"/>
    </xf>
    <xf numFmtId="0" fontId="4" fillId="4" borderId="5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7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4" fillId="0" borderId="1" xfId="4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8" fillId="0" borderId="6" xfId="3" applyFont="1" applyBorder="1" applyAlignment="1">
      <alignment horizontal="left" vertical="center"/>
    </xf>
    <xf numFmtId="0" fontId="4" fillId="0" borderId="6" xfId="4" applyFont="1" applyBorder="1">
      <alignment vertical="center"/>
    </xf>
    <xf numFmtId="0" fontId="11" fillId="0" borderId="6" xfId="4" applyFont="1" applyBorder="1">
      <alignment vertical="center"/>
    </xf>
    <xf numFmtId="0" fontId="4" fillId="5" borderId="5" xfId="3" applyFont="1" applyFill="1" applyBorder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9" fillId="0" borderId="0" xfId="0" applyFont="1" applyAlignment="1">
      <alignment vertical="center"/>
    </xf>
    <xf numFmtId="0" fontId="21" fillId="6" borderId="13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14" fillId="0" borderId="5" xfId="0" applyFont="1" applyBorder="1" applyAlignment="1">
      <alignment vertical="center"/>
    </xf>
    <xf numFmtId="0" fontId="4" fillId="0" borderId="5" xfId="4" applyFont="1" applyBorder="1">
      <alignment vertical="center"/>
    </xf>
    <xf numFmtId="0" fontId="4" fillId="0" borderId="3" xfId="4" applyFont="1" applyBorder="1">
      <alignment vertical="center"/>
    </xf>
    <xf numFmtId="0" fontId="4" fillId="0" borderId="6" xfId="3" applyFont="1" applyBorder="1">
      <alignment vertical="center"/>
    </xf>
    <xf numFmtId="0" fontId="8" fillId="0" borderId="15" xfId="0" applyFont="1" applyBorder="1" applyAlignment="1">
      <alignment vertical="center"/>
    </xf>
    <xf numFmtId="0" fontId="4" fillId="0" borderId="6" xfId="3" applyFont="1" applyBorder="1" applyAlignment="1">
      <alignment horizontal="center" vertical="center" wrapText="1"/>
    </xf>
    <xf numFmtId="0" fontId="4" fillId="0" borderId="15" xfId="3" applyFont="1" applyBorder="1">
      <alignment vertical="center"/>
    </xf>
    <xf numFmtId="0" fontId="6" fillId="0" borderId="15" xfId="0" applyFont="1" applyBorder="1"/>
    <xf numFmtId="0" fontId="6" fillId="0" borderId="2" xfId="0" applyFont="1" applyBorder="1"/>
    <xf numFmtId="0" fontId="11" fillId="6" borderId="15" xfId="3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6" borderId="0" xfId="0" applyFont="1" applyFill="1" applyAlignment="1">
      <alignment horizontal="center" vertical="center" wrapText="1"/>
    </xf>
    <xf numFmtId="0" fontId="8" fillId="0" borderId="3" xfId="0" applyFont="1" applyBorder="1" applyAlignment="1">
      <alignment vertical="center"/>
    </xf>
    <xf numFmtId="0" fontId="9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4" fillId="0" borderId="0" xfId="3" applyFont="1" applyAlignment="1">
      <alignment horizontal="center" vertical="center"/>
    </xf>
    <xf numFmtId="0" fontId="4" fillId="6" borderId="0" xfId="3" applyFont="1" applyFill="1" applyAlignment="1">
      <alignment vertical="center" wrapText="1"/>
    </xf>
    <xf numFmtId="0" fontId="8" fillId="6" borderId="0" xfId="3" applyFont="1" applyFill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 wrapText="1"/>
    </xf>
    <xf numFmtId="0" fontId="9" fillId="0" borderId="2" xfId="0" applyFont="1" applyBorder="1"/>
    <xf numFmtId="0" fontId="22" fillId="0" borderId="0" xfId="1" applyFont="1" applyFill="1" applyAlignment="1">
      <alignment vertical="center" wrapText="1"/>
    </xf>
    <xf numFmtId="0" fontId="4" fillId="6" borderId="0" xfId="3" applyFont="1" applyFill="1" applyAlignment="1">
      <alignment horizontal="left" vertical="center" wrapText="1"/>
    </xf>
    <xf numFmtId="0" fontId="8" fillId="0" borderId="0" xfId="1" applyFont="1" applyFill="1" applyAlignment="1">
      <alignment horizontal="center" vertical="center" wrapText="1"/>
    </xf>
    <xf numFmtId="0" fontId="17" fillId="0" borderId="0" xfId="3" applyFont="1" applyAlignment="1">
      <alignment horizontal="left" vertical="center"/>
    </xf>
    <xf numFmtId="0" fontId="11" fillId="0" borderId="0" xfId="3" applyFont="1" applyAlignment="1">
      <alignment horizontal="center" vertical="center" wrapText="1"/>
    </xf>
    <xf numFmtId="0" fontId="4" fillId="0" borderId="0" xfId="2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8" fillId="0" borderId="6" xfId="0" applyFont="1" applyBorder="1"/>
    <xf numFmtId="0" fontId="6" fillId="0" borderId="1" xfId="0" applyFont="1" applyBorder="1"/>
    <xf numFmtId="0" fontId="9" fillId="0" borderId="13" xfId="0" applyFont="1" applyBorder="1"/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7" fillId="6" borderId="0" xfId="3" applyFont="1" applyFill="1" applyAlignment="1">
      <alignment vertical="center" wrapText="1"/>
    </xf>
    <xf numFmtId="0" fontId="8" fillId="6" borderId="0" xfId="3" applyFont="1" applyFill="1" applyAlignment="1">
      <alignment vertical="center" wrapText="1"/>
    </xf>
    <xf numFmtId="0" fontId="7" fillId="6" borderId="0" xfId="3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1" xfId="3" applyFont="1" applyBorder="1">
      <alignment vertical="center"/>
    </xf>
    <xf numFmtId="0" fontId="4" fillId="0" borderId="9" xfId="4" applyFont="1" applyBorder="1">
      <alignment vertical="center"/>
    </xf>
    <xf numFmtId="0" fontId="4" fillId="0" borderId="13" xfId="3" applyFont="1" applyBorder="1" applyAlignment="1">
      <alignment horizontal="center" vertical="center" wrapText="1"/>
    </xf>
    <xf numFmtId="0" fontId="4" fillId="0" borderId="6" xfId="3" applyFont="1" applyBorder="1" applyAlignment="1">
      <alignment vertical="center" wrapText="1"/>
    </xf>
    <xf numFmtId="0" fontId="4" fillId="0" borderId="5" xfId="3" applyFont="1" applyBorder="1" applyAlignment="1">
      <alignment vertical="center" wrapText="1"/>
    </xf>
    <xf numFmtId="0" fontId="4" fillId="0" borderId="3" xfId="3" applyFont="1" applyBorder="1">
      <alignment vertical="center"/>
    </xf>
    <xf numFmtId="0" fontId="4" fillId="0" borderId="3" xfId="4" applyFont="1" applyBorder="1" applyAlignment="1">
      <alignment horizontal="center" vertical="center"/>
    </xf>
    <xf numFmtId="0" fontId="11" fillId="0" borderId="13" xfId="1" applyFont="1" applyFill="1" applyBorder="1" applyAlignment="1">
      <alignment vertical="center" wrapText="1"/>
    </xf>
    <xf numFmtId="0" fontId="4" fillId="0" borderId="6" xfId="4" applyFont="1" applyBorder="1" applyAlignment="1">
      <alignment horizontal="center" vertical="center"/>
    </xf>
    <xf numFmtId="0" fontId="4" fillId="0" borderId="2" xfId="4" applyFont="1" applyBorder="1">
      <alignment vertical="center"/>
    </xf>
    <xf numFmtId="0" fontId="14" fillId="0" borderId="6" xfId="0" applyFont="1" applyBorder="1"/>
    <xf numFmtId="0" fontId="14" fillId="0" borderId="15" xfId="0" applyFont="1" applyBorder="1"/>
    <xf numFmtId="0" fontId="4" fillId="6" borderId="6" xfId="3" applyFont="1" applyFill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11" fillId="6" borderId="6" xfId="3" applyFont="1" applyFill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14" fillId="0" borderId="2" xfId="0" applyFont="1" applyBorder="1"/>
    <xf numFmtId="0" fontId="4" fillId="0" borderId="17" xfId="3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vertical="center"/>
    </xf>
    <xf numFmtId="0" fontId="4" fillId="6" borderId="0" xfId="0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8" fillId="0" borderId="19" xfId="0" applyFont="1" applyBorder="1"/>
    <xf numFmtId="0" fontId="8" fillId="0" borderId="5" xfId="0" applyFont="1" applyBorder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11" fillId="0" borderId="0" xfId="1" applyFont="1" applyFill="1" applyAlignment="1">
      <alignment horizontal="left" vertical="center" wrapText="1"/>
    </xf>
    <xf numFmtId="0" fontId="22" fillId="0" borderId="0" xfId="0" applyFont="1" applyAlignment="1">
      <alignment vertical="center"/>
    </xf>
    <xf numFmtId="0" fontId="4" fillId="0" borderId="0" xfId="1" applyFont="1" applyFill="1" applyBorder="1" applyAlignment="1">
      <alignment vertical="center"/>
    </xf>
    <xf numFmtId="0" fontId="8" fillId="6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19" xfId="3" applyFont="1" applyBorder="1" applyAlignment="1">
      <alignment vertical="center" wrapText="1"/>
    </xf>
    <xf numFmtId="0" fontId="7" fillId="6" borderId="0" xfId="0" applyFont="1" applyFill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4" borderId="5" xfId="3" applyFont="1" applyFill="1" applyBorder="1" applyAlignment="1">
      <alignment horizontal="center" vertical="center"/>
    </xf>
    <xf numFmtId="0" fontId="7" fillId="10" borderId="13" xfId="3" applyFont="1" applyFill="1" applyBorder="1" applyAlignment="1">
      <alignment horizontal="center" vertical="center" wrapText="1"/>
    </xf>
    <xf numFmtId="0" fontId="7" fillId="0" borderId="0" xfId="3" applyFont="1" applyAlignment="1">
      <alignment horizontal="center" vertical="center" wrapText="1"/>
    </xf>
    <xf numFmtId="0" fontId="7" fillId="10" borderId="2" xfId="3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4" fillId="4" borderId="0" xfId="3" applyFont="1" applyFill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4" applyFont="1" applyBorder="1" applyAlignment="1">
      <alignment horizontal="center" vertical="center"/>
    </xf>
    <xf numFmtId="0" fontId="4" fillId="0" borderId="5" xfId="3" applyFont="1" applyBorder="1">
      <alignment vertical="center"/>
    </xf>
    <xf numFmtId="0" fontId="4" fillId="0" borderId="5" xfId="0" applyFont="1" applyBorder="1" applyAlignment="1">
      <alignment vertical="center"/>
    </xf>
    <xf numFmtId="0" fontId="8" fillId="0" borderId="1" xfId="0" applyFont="1" applyBorder="1"/>
    <xf numFmtId="0" fontId="8" fillId="0" borderId="2" xfId="0" applyFont="1" applyBorder="1"/>
    <xf numFmtId="0" fontId="8" fillId="0" borderId="5" xfId="0" applyFont="1" applyBorder="1"/>
    <xf numFmtId="0" fontId="4" fillId="6" borderId="5" xfId="0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0" fontId="24" fillId="0" borderId="0" xfId="3" applyFont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1" fillId="6" borderId="0" xfId="0" applyFont="1" applyFill="1" applyAlignment="1">
      <alignment horizontal="left" vertical="center" wrapText="1"/>
    </xf>
    <xf numFmtId="0" fontId="4" fillId="0" borderId="0" xfId="1" applyFont="1" applyFill="1" applyAlignment="1">
      <alignment vertical="center" wrapText="1"/>
    </xf>
    <xf numFmtId="0" fontId="4" fillId="0" borderId="5" xfId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4" fillId="0" borderId="19" xfId="3" applyFont="1" applyBorder="1" applyAlignment="1">
      <alignment horizontal="center" vertical="center" wrapText="1"/>
    </xf>
    <xf numFmtId="0" fontId="24" fillId="0" borderId="13" xfId="3" applyFont="1" applyBorder="1" applyAlignment="1">
      <alignment vertical="center" wrapText="1"/>
    </xf>
    <xf numFmtId="0" fontId="11" fillId="6" borderId="13" xfId="3" applyFont="1" applyFill="1" applyBorder="1" applyAlignment="1">
      <alignment vertical="center" wrapText="1"/>
    </xf>
    <xf numFmtId="0" fontId="8" fillId="0" borderId="4" xfId="0" applyFont="1" applyBorder="1"/>
    <xf numFmtId="0" fontId="11" fillId="0" borderId="0" xfId="0" applyFont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11" fillId="0" borderId="0" xfId="1" applyFont="1" applyFill="1" applyAlignment="1">
      <alignment horizontal="center" vertical="center" wrapText="1"/>
    </xf>
    <xf numFmtId="0" fontId="11" fillId="0" borderId="5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3" applyFont="1" applyAlignment="1">
      <alignment horizontal="left" vertical="center" wrapText="1"/>
    </xf>
    <xf numFmtId="0" fontId="4" fillId="6" borderId="5" xfId="3" applyFont="1" applyFill="1" applyBorder="1" applyAlignment="1">
      <alignment horizontal="center" vertical="center" wrapText="1"/>
    </xf>
    <xf numFmtId="0" fontId="25" fillId="0" borderId="0" xfId="0" applyFont="1"/>
    <xf numFmtId="0" fontId="11" fillId="0" borderId="0" xfId="0" applyFont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26" fillId="0" borderId="0" xfId="0" applyFont="1"/>
    <xf numFmtId="0" fontId="4" fillId="0" borderId="5" xfId="0" applyFont="1" applyBorder="1"/>
    <xf numFmtId="0" fontId="4" fillId="0" borderId="20" xfId="3" applyFont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4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28" fillId="0" borderId="0" xfId="3" applyFont="1" applyAlignment="1">
      <alignment vertical="center" wrapText="1"/>
    </xf>
    <xf numFmtId="0" fontId="11" fillId="0" borderId="0" xfId="3" applyFont="1" applyAlignment="1">
      <alignment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left" vertical="center" wrapText="1"/>
    </xf>
    <xf numFmtId="0" fontId="9" fillId="0" borderId="5" xfId="0" applyFont="1" applyBorder="1" applyAlignment="1">
      <alignment vertical="center"/>
    </xf>
    <xf numFmtId="0" fontId="11" fillId="6" borderId="0" xfId="3" applyFont="1" applyFill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8" fillId="0" borderId="0" xfId="4" applyFont="1" applyAlignment="1">
      <alignment horizontal="center" vertical="center"/>
    </xf>
    <xf numFmtId="0" fontId="29" fillId="0" borderId="0" xfId="3" applyFont="1" applyAlignment="1">
      <alignment horizontal="left" vertical="center" wrapText="1"/>
    </xf>
    <xf numFmtId="0" fontId="4" fillId="9" borderId="0" xfId="0" applyFont="1" applyFill="1" applyAlignment="1">
      <alignment vertical="center"/>
    </xf>
    <xf numFmtId="0" fontId="8" fillId="9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5" xfId="3" applyFont="1" applyBorder="1" applyAlignment="1">
      <alignment horizontal="left" vertical="center" wrapText="1"/>
    </xf>
    <xf numFmtId="0" fontId="4" fillId="6" borderId="0" xfId="0" applyFont="1" applyFill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0" fillId="9" borderId="0" xfId="0" applyFill="1"/>
    <xf numFmtId="0" fontId="8" fillId="9" borderId="5" xfId="0" applyFont="1" applyFill="1" applyBorder="1" applyAlignment="1">
      <alignment horizontal="center" vertical="center"/>
    </xf>
    <xf numFmtId="0" fontId="4" fillId="0" borderId="0" xfId="4" applyFont="1" applyAlignment="1">
      <alignment horizontal="left" vertical="center"/>
    </xf>
    <xf numFmtId="0" fontId="4" fillId="0" borderId="5" xfId="4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30" fillId="0" borderId="5" xfId="0" applyFont="1" applyBorder="1" applyAlignment="1">
      <alignment vertical="center"/>
    </xf>
    <xf numFmtId="0" fontId="11" fillId="0" borderId="0" xfId="3" applyFont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1" fillId="0" borderId="0" xfId="3" applyFont="1">
      <alignment vertical="center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29" fillId="0" borderId="0" xfId="0" applyFont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4" fillId="0" borderId="0" xfId="3" applyFont="1" applyAlignment="1">
      <alignment horizontal="left" wrapText="1"/>
    </xf>
    <xf numFmtId="0" fontId="4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27" fillId="0" borderId="0" xfId="0" applyFont="1" applyAlignment="1">
      <alignment horizontal="left" vertical="center"/>
    </xf>
    <xf numFmtId="0" fontId="34" fillId="0" borderId="0" xfId="0" applyFont="1"/>
    <xf numFmtId="0" fontId="35" fillId="0" borderId="0" xfId="0" applyFont="1"/>
    <xf numFmtId="0" fontId="33" fillId="0" borderId="0" xfId="0" applyFont="1" applyAlignment="1">
      <alignment vertical="center"/>
    </xf>
    <xf numFmtId="0" fontId="8" fillId="11" borderId="5" xfId="0" applyFont="1" applyFill="1" applyBorder="1" applyAlignment="1">
      <alignment horizontal="center" vertical="center"/>
    </xf>
    <xf numFmtId="0" fontId="4" fillId="11" borderId="5" xfId="3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0" xfId="3" applyFont="1" applyFill="1" applyAlignment="1">
      <alignment horizontal="center" vertical="center" wrapText="1"/>
    </xf>
    <xf numFmtId="0" fontId="4" fillId="11" borderId="3" xfId="3" applyFont="1" applyFill="1" applyBorder="1" applyAlignment="1">
      <alignment horizontal="center" vertical="center" wrapText="1"/>
    </xf>
    <xf numFmtId="0" fontId="4" fillId="11" borderId="5" xfId="3" applyFont="1" applyFill="1" applyBorder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11" fillId="0" borderId="0" xfId="3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0" fillId="0" borderId="0" xfId="3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/>
    </xf>
    <xf numFmtId="0" fontId="4" fillId="9" borderId="0" xfId="0" applyFont="1" applyFill="1" applyAlignment="1">
      <alignment horizont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4" fillId="9" borderId="0" xfId="3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11" fillId="0" borderId="0" xfId="3" applyFont="1" applyAlignment="1">
      <alignment horizontal="left" vertical="center" wrapText="1"/>
    </xf>
    <xf numFmtId="0" fontId="4" fillId="9" borderId="0" xfId="3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6" borderId="0" xfId="0" applyFont="1" applyFill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4" fillId="8" borderId="0" xfId="3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8" borderId="0" xfId="3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6" borderId="3" xfId="3" applyFont="1" applyFill="1" applyBorder="1" applyAlignment="1">
      <alignment horizontal="center" vertical="center" wrapText="1"/>
    </xf>
    <xf numFmtId="0" fontId="4" fillId="6" borderId="4" xfId="3" applyFont="1" applyFill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4" fillId="9" borderId="3" xfId="1" applyFont="1" applyFill="1" applyBorder="1" applyAlignment="1">
      <alignment horizontal="center" vertical="center"/>
    </xf>
    <xf numFmtId="0" fontId="4" fillId="9" borderId="4" xfId="1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 wrapText="1"/>
    </xf>
    <xf numFmtId="0" fontId="8" fillId="0" borderId="4" xfId="1" applyFont="1" applyFill="1" applyBorder="1" applyAlignment="1">
      <alignment horizontal="center" vertical="center" wrapText="1"/>
    </xf>
    <xf numFmtId="0" fontId="4" fillId="8" borderId="3" xfId="1" applyFont="1" applyFill="1" applyBorder="1" applyAlignment="1">
      <alignment horizontal="center" vertical="center" wrapText="1"/>
    </xf>
    <xf numFmtId="0" fontId="4" fillId="8" borderId="4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0" fontId="4" fillId="8" borderId="3" xfId="3" applyFont="1" applyFill="1" applyBorder="1" applyAlignment="1">
      <alignment horizontal="center" vertical="center" wrapText="1"/>
    </xf>
    <xf numFmtId="0" fontId="4" fillId="8" borderId="4" xfId="3" applyFont="1" applyFill="1" applyBorder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7" borderId="4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8" fillId="8" borderId="3" xfId="1" applyFont="1" applyFill="1" applyBorder="1" applyAlignment="1">
      <alignment horizontal="center" vertical="center"/>
    </xf>
    <xf numFmtId="0" fontId="8" fillId="8" borderId="4" xfId="1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6" borderId="1" xfId="3" applyFont="1" applyFill="1" applyBorder="1" applyAlignment="1">
      <alignment horizontal="center" vertical="center" wrapText="1"/>
    </xf>
    <xf numFmtId="0" fontId="4" fillId="6" borderId="2" xfId="3" applyFont="1" applyFill="1" applyBorder="1" applyAlignment="1">
      <alignment horizontal="center" vertical="center" wrapText="1"/>
    </xf>
    <xf numFmtId="0" fontId="4" fillId="0" borderId="0" xfId="3" applyFont="1" applyAlignment="1">
      <alignment horizontal="left" vertical="center"/>
    </xf>
    <xf numFmtId="0" fontId="4" fillId="0" borderId="3" xfId="2" applyFont="1" applyFill="1" applyBorder="1" applyAlignment="1">
      <alignment horizontal="center" vertical="center" wrapText="1"/>
    </xf>
    <xf numFmtId="0" fontId="4" fillId="0" borderId="4" xfId="2" applyFont="1" applyFill="1" applyBorder="1" applyAlignment="1">
      <alignment horizontal="center" vertical="center" wrapText="1"/>
    </xf>
    <xf numFmtId="0" fontId="4" fillId="7" borderId="3" xfId="3" applyFont="1" applyFill="1" applyBorder="1" applyAlignment="1">
      <alignment horizontal="center" vertical="center" wrapText="1"/>
    </xf>
    <xf numFmtId="0" fontId="4" fillId="7" borderId="4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1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4" fillId="6" borderId="1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8" fillId="6" borderId="1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9" xfId="0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4" fillId="7" borderId="3" xfId="1" applyFont="1" applyFill="1" applyBorder="1" applyAlignment="1">
      <alignment horizontal="center" vertical="center"/>
    </xf>
    <xf numFmtId="0" fontId="4" fillId="7" borderId="4" xfId="1" applyFont="1" applyFill="1" applyBorder="1" applyAlignment="1">
      <alignment horizontal="center" vertical="center"/>
    </xf>
    <xf numFmtId="0" fontId="4" fillId="7" borderId="13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6" borderId="3" xfId="4" applyFont="1" applyFill="1" applyBorder="1" applyAlignment="1">
      <alignment horizontal="center" vertical="center"/>
    </xf>
    <xf numFmtId="0" fontId="4" fillId="6" borderId="4" xfId="4" applyFont="1" applyFill="1" applyBorder="1" applyAlignment="1">
      <alignment horizontal="center" vertical="center"/>
    </xf>
    <xf numFmtId="0" fontId="4" fillId="6" borderId="1" xfId="4" applyFont="1" applyFill="1" applyBorder="1" applyAlignment="1">
      <alignment horizontal="center" vertical="center"/>
    </xf>
    <xf numFmtId="0" fontId="4" fillId="6" borderId="2" xfId="4" applyFont="1" applyFill="1" applyBorder="1" applyAlignment="1">
      <alignment horizontal="center" vertical="center"/>
    </xf>
    <xf numFmtId="0" fontId="4" fillId="0" borderId="0" xfId="4" applyFont="1" applyAlignment="1">
      <alignment horizontal="left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4" fillId="0" borderId="0" xfId="0" applyFont="1"/>
    <xf numFmtId="0" fontId="4" fillId="6" borderId="0" xfId="0" applyFont="1" applyFill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1" applyFont="1" applyFill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</cellXfs>
  <cellStyles count="6">
    <cellStyle name="差" xfId="1" builtinId="27"/>
    <cellStyle name="常规" xfId="0" builtinId="0"/>
    <cellStyle name="常规 2" xfId="4" xr:uid="{4F92EC0E-BE2D-46AA-995C-82C3E559A743}"/>
    <cellStyle name="常规 4" xfId="3" xr:uid="{5D5F860F-D2D3-4E7E-8A6B-D1D4F4636E84}"/>
    <cellStyle name="常规_2005SCHSIC組織" xfId="5" xr:uid="{5C810C71-18B7-47D0-AF10-5EF5152F3340}"/>
    <cellStyle name="适中" xfId="2" builtinId="28"/>
  </cellStyles>
  <dxfs count="0"/>
  <tableStyles count="0" defaultTableStyle="TableStyleMedium2" defaultPivotStyle="PivotStyleLight16"/>
  <colors>
    <mruColors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A989-938F-4B28-8AAA-5C036BD6ADC5}">
  <sheetPr>
    <tabColor rgb="FFFF0000"/>
    <pageSetUpPr fitToPage="1"/>
  </sheetPr>
  <dimension ref="B3:MS98"/>
  <sheetViews>
    <sheetView showGridLines="0" tabSelected="1" topLeftCell="FW41" zoomScale="70" zoomScaleNormal="70" workbookViewId="0">
      <selection activeCell="GH78" sqref="GH78"/>
    </sheetView>
  </sheetViews>
  <sheetFormatPr defaultRowHeight="14.25"/>
  <cols>
    <col min="1" max="1" width="5" customWidth="1"/>
    <col min="6" max="6" width="7.375" customWidth="1"/>
    <col min="14" max="14" width="5.875" customWidth="1"/>
    <col min="21" max="21" width="11" customWidth="1"/>
    <col min="26" max="26" width="7.625" customWidth="1"/>
    <col min="88" max="88" width="13.875" customWidth="1"/>
    <col min="95" max="95" width="14.5" customWidth="1"/>
    <col min="113" max="113" width="11" customWidth="1"/>
    <col min="114" max="114" width="11.75" customWidth="1"/>
    <col min="118" max="118" width="13.375" customWidth="1"/>
    <col min="121" max="121" width="9.875" customWidth="1"/>
    <col min="122" max="122" width="12.125" customWidth="1"/>
    <col min="124" max="124" width="11" customWidth="1"/>
    <col min="157" max="158" width="10.375" customWidth="1"/>
    <col min="176" max="176" width="9.5" customWidth="1"/>
    <col min="177" max="177" width="10.625" customWidth="1"/>
    <col min="180" max="180" width="14.5" customWidth="1"/>
    <col min="182" max="182" width="7.75" customWidth="1"/>
    <col min="183" max="183" width="14.625" customWidth="1"/>
    <col min="184" max="184" width="9" customWidth="1"/>
    <col min="185" max="185" width="4.75" customWidth="1"/>
    <col min="186" max="186" width="14.5" customWidth="1"/>
    <col min="188" max="188" width="7.125" customWidth="1"/>
    <col min="189" max="189" width="18" customWidth="1"/>
    <col min="190" max="190" width="14.875" customWidth="1"/>
    <col min="191" max="191" width="16.375" customWidth="1"/>
    <col min="192" max="192" width="15.875" customWidth="1"/>
    <col min="193" max="193" width="5.125" customWidth="1"/>
    <col min="194" max="194" width="11.75" customWidth="1"/>
    <col min="195" max="195" width="12.5" customWidth="1"/>
    <col min="196" max="196" width="10" customWidth="1"/>
    <col min="197" max="197" width="10.625" customWidth="1"/>
    <col min="198" max="198" width="10.875" customWidth="1"/>
    <col min="202" max="202" width="4.75" customWidth="1"/>
    <col min="226" max="226" width="12.875" customWidth="1"/>
    <col min="227" max="227" width="12" customWidth="1"/>
    <col min="257" max="257" width="10.875" customWidth="1"/>
    <col min="270" max="270" width="15.875" customWidth="1"/>
    <col min="271" max="271" width="15.25" customWidth="1"/>
    <col min="273" max="273" width="16.25" customWidth="1"/>
    <col min="292" max="292" width="5.125" customWidth="1"/>
    <col min="300" max="300" width="11.25" customWidth="1"/>
    <col min="301" max="301" width="10.375" customWidth="1"/>
    <col min="303" max="303" width="5" customWidth="1"/>
    <col min="311" max="311" width="10.375" customWidth="1"/>
    <col min="312" max="312" width="11.25" customWidth="1"/>
    <col min="313" max="313" width="11.125" customWidth="1"/>
    <col min="314" max="314" width="11.5" customWidth="1"/>
    <col min="349" max="349" width="6.625" customWidth="1"/>
  </cols>
  <sheetData>
    <row r="3" spans="111:138" ht="17.25">
      <c r="DW3" s="389" t="s">
        <v>0</v>
      </c>
      <c r="DX3" s="390"/>
    </row>
    <row r="4" spans="111:138" ht="17.25">
      <c r="DW4" s="347" t="s">
        <v>1</v>
      </c>
      <c r="DX4" s="348"/>
    </row>
    <row r="5" spans="111:138" ht="17.25">
      <c r="DW5" s="2"/>
      <c r="DX5" s="3">
        <f>D49+L49+S49+AM39+DX38+GE49+IU39+KL42+LA38+LP39+MA49+MH49+MM49+MP49+MS49+DR11+2</f>
        <v>514</v>
      </c>
    </row>
    <row r="6" spans="111:138" ht="17.25">
      <c r="DW6" s="2"/>
      <c r="DX6" s="296">
        <f>D50+L50+S50+AM40+DX39+GE50+IU40+KL43+LA39+LP40+MA50+MH50+MM50+MP50+MS50+DR12+2</f>
        <v>579</v>
      </c>
    </row>
    <row r="7" spans="111:138">
      <c r="DX7" s="4"/>
    </row>
    <row r="8" spans="111:138" ht="16.5"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X8" s="4"/>
    </row>
    <row r="9" spans="111:138" ht="17.25">
      <c r="DG9" s="5"/>
      <c r="DH9" s="5"/>
      <c r="DI9" s="6"/>
      <c r="DJ9" s="6"/>
      <c r="DK9" s="7"/>
      <c r="DL9" s="7"/>
      <c r="DM9" s="7"/>
      <c r="DN9" s="7"/>
      <c r="DO9" s="7"/>
      <c r="DP9" s="7"/>
      <c r="DQ9" s="454" t="s">
        <v>2</v>
      </c>
      <c r="DR9" s="455"/>
      <c r="DS9" s="9"/>
      <c r="DT9" s="7"/>
      <c r="DU9" s="7"/>
      <c r="DX9" s="4"/>
      <c r="EA9" s="456" t="s">
        <v>3</v>
      </c>
      <c r="EB9" s="457"/>
      <c r="EC9" s="10" t="s">
        <v>4</v>
      </c>
      <c r="ED9" s="11"/>
      <c r="EE9" s="11"/>
      <c r="EF9" s="11"/>
      <c r="EG9" s="2"/>
      <c r="EH9" s="2"/>
    </row>
    <row r="10" spans="111:138" ht="17.25">
      <c r="DG10" s="5"/>
      <c r="DH10" s="5"/>
      <c r="DI10" s="6"/>
      <c r="DJ10" s="7"/>
      <c r="DK10" s="7"/>
      <c r="DL10" s="7"/>
      <c r="DM10" s="7"/>
      <c r="DN10" s="7"/>
      <c r="DO10" s="7"/>
      <c r="DP10" s="7"/>
      <c r="DQ10" s="349" t="s">
        <v>5</v>
      </c>
      <c r="DR10" s="458"/>
      <c r="DS10" s="12"/>
      <c r="DT10" s="13"/>
      <c r="DU10" s="13"/>
      <c r="DV10" s="14"/>
      <c r="DW10" s="14"/>
      <c r="DX10" s="15"/>
      <c r="DY10" s="14"/>
      <c r="DZ10" s="16"/>
      <c r="EA10" s="459" t="s">
        <v>6</v>
      </c>
      <c r="EB10" s="460"/>
      <c r="EC10" s="11"/>
      <c r="ED10" s="11"/>
      <c r="EE10" s="11"/>
      <c r="EF10" s="11"/>
      <c r="EG10" s="2"/>
      <c r="EH10" s="2"/>
    </row>
    <row r="11" spans="111:138" ht="17.25">
      <c r="DG11" s="5"/>
      <c r="DH11" s="5"/>
      <c r="DI11" s="6"/>
      <c r="DJ11" s="7"/>
      <c r="DK11" s="7"/>
      <c r="DL11" s="7"/>
      <c r="DM11" s="7"/>
      <c r="DN11" s="7"/>
      <c r="DO11" s="7"/>
      <c r="DP11" s="7"/>
      <c r="DQ11" s="17"/>
      <c r="DR11" s="3">
        <f>DN18</f>
        <v>10</v>
      </c>
      <c r="DS11" s="7"/>
      <c r="DT11" s="7"/>
      <c r="DU11" s="7"/>
      <c r="DX11" s="4"/>
      <c r="EA11" s="11"/>
      <c r="EB11" s="11"/>
      <c r="EC11" s="11"/>
      <c r="ED11" s="11"/>
      <c r="EE11" s="11"/>
      <c r="EF11" s="11"/>
      <c r="EG11" s="2"/>
      <c r="EH11" s="2"/>
    </row>
    <row r="12" spans="111:138" ht="17.25">
      <c r="DG12" s="6"/>
      <c r="DH12" s="6"/>
      <c r="DI12" s="6"/>
      <c r="DJ12" s="7"/>
      <c r="DK12" s="7"/>
      <c r="DL12" s="7"/>
      <c r="DM12" s="7"/>
      <c r="DN12" s="7"/>
      <c r="DO12" s="7"/>
      <c r="DP12" s="7"/>
      <c r="DQ12" s="7"/>
      <c r="DR12" s="305">
        <v>10</v>
      </c>
      <c r="DS12" s="7"/>
      <c r="DT12" s="7"/>
      <c r="DU12" s="7"/>
      <c r="DX12" s="4"/>
      <c r="EA12" s="11" t="s">
        <v>7</v>
      </c>
      <c r="EB12" s="11"/>
      <c r="EC12" s="11"/>
      <c r="ED12" s="11"/>
      <c r="EE12" s="11"/>
      <c r="EF12" s="11"/>
      <c r="EG12" s="2"/>
      <c r="EH12" s="2"/>
    </row>
    <row r="13" spans="111:138" ht="17.25">
      <c r="DG13" s="6"/>
      <c r="DH13" s="6"/>
      <c r="DI13" s="6"/>
      <c r="DJ13" s="7"/>
      <c r="DK13" s="7"/>
      <c r="DL13" s="7"/>
      <c r="DM13" s="7"/>
      <c r="DN13" s="7"/>
      <c r="DO13" s="7"/>
      <c r="DP13" s="7"/>
      <c r="DQ13" s="7"/>
      <c r="DR13" s="9"/>
      <c r="DS13" s="7"/>
      <c r="DT13" s="7"/>
      <c r="DU13" s="7"/>
      <c r="DX13" s="4"/>
      <c r="EA13" s="2"/>
      <c r="EB13" s="2"/>
      <c r="EC13" s="2"/>
      <c r="ED13" s="2"/>
      <c r="EE13" s="2"/>
      <c r="EF13" s="2"/>
      <c r="EG13" s="2"/>
      <c r="EH13" s="2"/>
    </row>
    <row r="14" spans="111:138" ht="17.25">
      <c r="DG14" s="6"/>
      <c r="DH14" s="6"/>
      <c r="DI14" s="6"/>
      <c r="DJ14" s="7"/>
      <c r="DK14" s="7"/>
      <c r="DL14" s="7"/>
      <c r="DM14" s="7"/>
      <c r="DN14" s="12"/>
      <c r="DO14" s="13"/>
      <c r="DP14" s="13"/>
      <c r="DQ14" s="13"/>
      <c r="DR14" s="13"/>
      <c r="DS14" s="13"/>
      <c r="DT14" s="18"/>
      <c r="DU14" s="7"/>
      <c r="DX14" s="4"/>
    </row>
    <row r="15" spans="111:138" ht="17.25">
      <c r="DG15" s="6"/>
      <c r="DH15" s="6"/>
      <c r="DI15" s="6"/>
      <c r="DJ15" s="7"/>
      <c r="DK15" s="7"/>
      <c r="DL15" s="7"/>
      <c r="DM15" s="7"/>
      <c r="DN15" s="9"/>
      <c r="DO15" s="7"/>
      <c r="DP15" s="7"/>
      <c r="DQ15" s="7"/>
      <c r="DR15" s="7"/>
      <c r="DS15" s="7"/>
      <c r="DT15" s="19"/>
      <c r="DU15" s="7"/>
      <c r="DX15" s="4"/>
    </row>
    <row r="16" spans="111:138" ht="17.25">
      <c r="DG16" s="6"/>
      <c r="DH16" s="6"/>
      <c r="DI16" s="6"/>
      <c r="DJ16" s="7"/>
      <c r="DK16" s="20"/>
      <c r="DL16" s="20"/>
      <c r="DM16" s="395" t="s">
        <v>8</v>
      </c>
      <c r="DN16" s="396"/>
      <c r="DO16" s="7"/>
      <c r="DP16" s="7"/>
      <c r="DQ16" s="7"/>
      <c r="DR16" s="7"/>
      <c r="DS16" s="7"/>
      <c r="DT16" s="395" t="s">
        <v>9</v>
      </c>
      <c r="DU16" s="396"/>
      <c r="DX16" s="4"/>
    </row>
    <row r="17" spans="4:356" ht="17.25">
      <c r="DG17" s="6"/>
      <c r="DH17" s="416"/>
      <c r="DI17" s="416"/>
      <c r="DJ17" s="7"/>
      <c r="DK17" s="20"/>
      <c r="DL17" s="20"/>
      <c r="DM17" s="349" t="s">
        <v>5</v>
      </c>
      <c r="DN17" s="350"/>
      <c r="DO17" s="7"/>
      <c r="DP17" s="7"/>
      <c r="DQ17" s="7"/>
      <c r="DR17" s="7"/>
      <c r="DS17" s="7"/>
      <c r="DT17" s="349" t="s">
        <v>5</v>
      </c>
      <c r="DU17" s="350"/>
      <c r="DX17" s="4"/>
    </row>
    <row r="18" spans="4:356" ht="17.25">
      <c r="DG18" s="6"/>
      <c r="DH18" s="6"/>
      <c r="DI18" s="6"/>
      <c r="DJ18" s="7"/>
      <c r="DK18" s="24"/>
      <c r="DL18" s="24"/>
      <c r="DM18" s="7"/>
      <c r="DN18" s="3">
        <v>10</v>
      </c>
      <c r="DO18" s="7"/>
      <c r="DP18" s="7"/>
      <c r="DQ18" s="7"/>
      <c r="DR18" s="7"/>
      <c r="DS18" s="7"/>
      <c r="DT18" s="7"/>
      <c r="DU18" s="3">
        <v>0</v>
      </c>
      <c r="DX18" s="4"/>
    </row>
    <row r="19" spans="4:356" ht="17.25">
      <c r="DG19" s="6"/>
      <c r="DH19" s="6"/>
      <c r="DI19" s="6"/>
      <c r="DJ19" s="25"/>
      <c r="DK19" s="25"/>
      <c r="DL19" s="25"/>
      <c r="DM19" s="7"/>
      <c r="DN19" s="305">
        <v>10</v>
      </c>
      <c r="DO19" s="7"/>
      <c r="DP19" s="7"/>
      <c r="DQ19" s="7"/>
      <c r="DR19" s="7"/>
      <c r="DS19" s="7"/>
      <c r="DT19" s="7"/>
      <c r="DU19" s="305">
        <v>0</v>
      </c>
      <c r="DX19" s="4"/>
    </row>
    <row r="20" spans="4:356" ht="17.25">
      <c r="DG20" s="6"/>
      <c r="DH20" s="6"/>
      <c r="DI20" s="6"/>
      <c r="DJ20" s="7"/>
      <c r="DK20" s="12"/>
      <c r="DL20" s="13"/>
      <c r="DM20" s="13"/>
      <c r="DN20" s="13"/>
      <c r="DO20" s="13"/>
      <c r="DP20" s="18"/>
      <c r="DQ20" s="17"/>
      <c r="DR20" s="7"/>
      <c r="DS20" s="7"/>
      <c r="DT20" s="7"/>
      <c r="DU20" s="9"/>
      <c r="DX20" s="4"/>
    </row>
    <row r="21" spans="4:356" ht="17.25">
      <c r="DG21" s="6"/>
      <c r="DH21" s="6"/>
      <c r="DI21" s="6"/>
      <c r="DJ21" s="314" t="s">
        <v>10</v>
      </c>
      <c r="DK21" s="314"/>
      <c r="DL21" s="6"/>
      <c r="DM21" s="7"/>
      <c r="DN21" s="7"/>
      <c r="DO21" s="314" t="s">
        <v>11</v>
      </c>
      <c r="DP21" s="314"/>
      <c r="DQ21" s="314"/>
      <c r="DR21" s="7"/>
      <c r="DS21" s="7"/>
      <c r="DT21" s="5"/>
      <c r="DU21" s="26"/>
      <c r="DX21" s="4"/>
    </row>
    <row r="22" spans="4:356" ht="17.25">
      <c r="DG22" s="6"/>
      <c r="DH22" s="6"/>
      <c r="DI22" s="6"/>
      <c r="DJ22" s="453" t="s">
        <v>12</v>
      </c>
      <c r="DK22" s="453"/>
      <c r="DL22" s="6"/>
      <c r="DM22" s="7"/>
      <c r="DN22" s="7"/>
      <c r="DO22" s="318" t="s">
        <v>13</v>
      </c>
      <c r="DP22" s="318"/>
      <c r="DQ22" s="318"/>
      <c r="DR22" s="7"/>
      <c r="DS22" s="7"/>
      <c r="DT22" s="27" t="s">
        <v>14</v>
      </c>
      <c r="DU22" s="28" t="s">
        <v>15</v>
      </c>
      <c r="DX22" s="4"/>
    </row>
    <row r="23" spans="4:356" ht="17.25">
      <c r="DG23" s="6"/>
      <c r="DH23" s="310" t="s">
        <v>16</v>
      </c>
      <c r="DI23" s="310"/>
      <c r="DJ23" s="6"/>
      <c r="DK23" s="6"/>
      <c r="DL23" s="314" t="s">
        <v>17</v>
      </c>
      <c r="DM23" s="314"/>
      <c r="DN23" s="7"/>
      <c r="DO23" s="6"/>
      <c r="DP23" s="6"/>
      <c r="DQ23" s="6"/>
      <c r="DR23" s="20"/>
      <c r="DS23" s="7"/>
      <c r="DT23" s="28"/>
      <c r="DU23" s="30"/>
      <c r="DX23" s="4"/>
    </row>
    <row r="24" spans="4:356" ht="17.25">
      <c r="DG24" s="318" t="s">
        <v>18</v>
      </c>
      <c r="DH24" s="318"/>
      <c r="DI24" s="452" t="s">
        <v>19</v>
      </c>
      <c r="DJ24" s="452"/>
      <c r="DK24" s="310" t="s">
        <v>20</v>
      </c>
      <c r="DL24" s="310"/>
      <c r="DM24" s="449" t="s">
        <v>21</v>
      </c>
      <c r="DN24" s="449"/>
      <c r="DO24" s="451" t="s">
        <v>22</v>
      </c>
      <c r="DP24" s="451"/>
      <c r="DQ24" s="427" t="s">
        <v>23</v>
      </c>
      <c r="DR24" s="427"/>
      <c r="DS24" s="7"/>
      <c r="DT24" s="416" t="s">
        <v>24</v>
      </c>
      <c r="DU24" s="416"/>
      <c r="DX24" s="4"/>
    </row>
    <row r="25" spans="4:356" ht="17.25">
      <c r="DG25" s="318" t="s">
        <v>25</v>
      </c>
      <c r="DH25" s="318"/>
      <c r="DI25" s="452" t="s">
        <v>26</v>
      </c>
      <c r="DJ25" s="452"/>
      <c r="DK25" s="310" t="s">
        <v>27</v>
      </c>
      <c r="DL25" s="310"/>
      <c r="DM25" s="452" t="s">
        <v>28</v>
      </c>
      <c r="DN25" s="452"/>
      <c r="DO25" s="425" t="s">
        <v>29</v>
      </c>
      <c r="DP25" s="425"/>
      <c r="DQ25" s="416" t="s">
        <v>30</v>
      </c>
      <c r="DR25" s="416"/>
      <c r="DS25" s="7"/>
      <c r="DT25" s="416" t="s">
        <v>31</v>
      </c>
      <c r="DU25" s="416"/>
      <c r="DX25" s="4"/>
    </row>
    <row r="26" spans="4:356" ht="17.25">
      <c r="DG26" s="318" t="s">
        <v>32</v>
      </c>
      <c r="DH26" s="318"/>
      <c r="DI26" s="449" t="s">
        <v>21</v>
      </c>
      <c r="DJ26" s="449"/>
      <c r="DO26" s="451" t="s">
        <v>33</v>
      </c>
      <c r="DP26" s="451"/>
      <c r="DQ26" s="416" t="s">
        <v>34</v>
      </c>
      <c r="DR26" s="416"/>
      <c r="DS26" s="7"/>
      <c r="DT26" s="416" t="s">
        <v>35</v>
      </c>
      <c r="DU26" s="416"/>
      <c r="DX26" s="4"/>
    </row>
    <row r="27" spans="4:356" ht="17.25">
      <c r="DG27" s="318" t="s">
        <v>36</v>
      </c>
      <c r="DH27" s="318"/>
      <c r="DI27" s="449" t="s">
        <v>37</v>
      </c>
      <c r="DJ27" s="449"/>
      <c r="DK27" s="310"/>
      <c r="DL27" s="310"/>
      <c r="DM27" s="6"/>
      <c r="DN27" s="6"/>
      <c r="DO27" s="451" t="s">
        <v>38</v>
      </c>
      <c r="DP27" s="451"/>
      <c r="DQ27" s="416" t="s">
        <v>34</v>
      </c>
      <c r="DR27" s="416"/>
      <c r="DS27" s="7"/>
      <c r="DT27" s="416" t="s">
        <v>39</v>
      </c>
      <c r="DU27" s="416"/>
      <c r="DX27" s="4"/>
    </row>
    <row r="28" spans="4:356" ht="17.25">
      <c r="DG28" s="318" t="s">
        <v>40</v>
      </c>
      <c r="DH28" s="318"/>
      <c r="DI28" s="449" t="s">
        <v>41</v>
      </c>
      <c r="DJ28" s="449"/>
      <c r="DK28" s="310"/>
      <c r="DL28" s="310"/>
      <c r="DM28" s="416"/>
      <c r="DN28" s="416"/>
      <c r="DO28" s="425" t="s">
        <v>42</v>
      </c>
      <c r="DP28" s="425"/>
      <c r="DQ28" s="450" t="s">
        <v>43</v>
      </c>
      <c r="DR28" s="450"/>
      <c r="DS28" s="7"/>
      <c r="DT28" s="7"/>
      <c r="DU28" s="6"/>
      <c r="DX28" s="4"/>
    </row>
    <row r="29" spans="4:356" ht="15.75"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X29" s="4"/>
    </row>
    <row r="30" spans="4:356">
      <c r="DX30" s="4"/>
    </row>
    <row r="31" spans="4:356">
      <c r="DX31" s="4"/>
    </row>
    <row r="32" spans="4:356">
      <c r="D32" s="15"/>
      <c r="E32" s="14"/>
      <c r="F32" s="14"/>
      <c r="G32" s="14"/>
      <c r="H32" s="14"/>
      <c r="I32" s="14"/>
      <c r="J32" s="14"/>
      <c r="K32" s="14"/>
      <c r="L32" s="15"/>
      <c r="M32" s="14"/>
      <c r="N32" s="14"/>
      <c r="O32" s="14"/>
      <c r="P32" s="14"/>
      <c r="Q32" s="14"/>
      <c r="R32" s="14"/>
      <c r="S32" s="1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5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5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5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33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33"/>
      <c r="KL32" s="14"/>
      <c r="KM32" s="14"/>
      <c r="KN32" s="14"/>
      <c r="KO32" s="14"/>
      <c r="KP32" s="14"/>
      <c r="KQ32" s="14"/>
      <c r="KR32" s="14"/>
      <c r="KS32" s="14"/>
      <c r="KT32" s="14"/>
      <c r="KU32" s="14"/>
      <c r="KV32" s="14"/>
      <c r="KW32" s="14"/>
      <c r="KX32" s="14"/>
      <c r="KY32" s="14"/>
      <c r="KZ32" s="33"/>
      <c r="LA32" s="14"/>
      <c r="LB32" s="14"/>
      <c r="LC32" s="14"/>
      <c r="LD32" s="14"/>
      <c r="LE32" s="14"/>
      <c r="LF32" s="14"/>
      <c r="LG32" s="14"/>
      <c r="LH32" s="14"/>
      <c r="LI32" s="14"/>
      <c r="LJ32" s="14"/>
      <c r="LK32" s="14"/>
      <c r="LL32" s="14"/>
      <c r="LM32" s="14"/>
      <c r="LN32" s="14"/>
      <c r="LO32" s="33"/>
      <c r="LP32" s="14"/>
      <c r="LQ32" s="14"/>
      <c r="LR32" s="14"/>
      <c r="LS32" s="14"/>
      <c r="LT32" s="14"/>
      <c r="LU32" s="14"/>
      <c r="LV32" s="14"/>
      <c r="LW32" s="14"/>
      <c r="LX32" s="14"/>
      <c r="LY32" s="14"/>
      <c r="LZ32" s="33"/>
      <c r="MA32" s="14"/>
      <c r="MB32" s="14"/>
      <c r="MC32" s="14"/>
      <c r="MD32" s="14"/>
      <c r="ME32" s="14"/>
      <c r="MF32" s="14"/>
      <c r="MG32" s="33"/>
      <c r="MH32" s="14"/>
      <c r="MI32" s="14"/>
      <c r="MJ32" s="14"/>
      <c r="MK32" s="14"/>
      <c r="ML32" s="33"/>
      <c r="MM32" s="14"/>
      <c r="MN32" s="14"/>
      <c r="MO32" s="33"/>
      <c r="MP32" s="14"/>
      <c r="MQ32" s="14"/>
      <c r="MR32" s="33"/>
    </row>
    <row r="33" spans="3:357">
      <c r="D33" s="4"/>
      <c r="L33" s="4"/>
      <c r="S33" s="4"/>
      <c r="AM33" s="4"/>
      <c r="DX33" s="4"/>
      <c r="GE33" s="4"/>
      <c r="IT33" s="34"/>
      <c r="KK33" s="34"/>
      <c r="KZ33" s="34"/>
      <c r="LO33" s="34"/>
      <c r="LZ33" s="34"/>
      <c r="MG33" s="34"/>
      <c r="ML33" s="34"/>
      <c r="MO33" s="34"/>
      <c r="MR33" s="34"/>
    </row>
    <row r="34" spans="3:357" ht="15.75">
      <c r="D34" s="4"/>
      <c r="L34" s="4"/>
      <c r="S34" s="4"/>
      <c r="AM34" s="4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X34" s="4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GE34" s="4"/>
      <c r="IT34" s="34"/>
      <c r="KK34" s="34"/>
      <c r="KZ34" s="34"/>
      <c r="LO34" s="34"/>
      <c r="LZ34" s="34"/>
      <c r="MG34" s="34"/>
      <c r="ML34" s="34"/>
      <c r="MO34" s="34"/>
      <c r="MR34" s="34"/>
    </row>
    <row r="35" spans="3:357" ht="17.25">
      <c r="D35" s="4"/>
      <c r="L35" s="4"/>
      <c r="S35" s="4"/>
      <c r="AM35" s="4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2"/>
      <c r="CA35" s="2"/>
      <c r="CB35" s="2"/>
      <c r="CC35" s="7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X35" s="36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2"/>
      <c r="FH35" s="2"/>
      <c r="FI35" s="2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GE35" s="4"/>
      <c r="IT35" s="34"/>
      <c r="KK35" s="34"/>
      <c r="KZ35" s="37"/>
      <c r="LO35" s="34"/>
      <c r="LZ35" s="34"/>
      <c r="MG35" s="34"/>
      <c r="ML35" s="34"/>
      <c r="MO35" s="34"/>
      <c r="MR35" s="34"/>
    </row>
    <row r="36" spans="3:357" ht="17.25">
      <c r="D36" s="4"/>
      <c r="L36" s="4"/>
      <c r="S36" s="4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9"/>
      <c r="AM36" s="36"/>
      <c r="AN36" s="38"/>
      <c r="AO36" s="38"/>
      <c r="AP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2"/>
      <c r="CA36" s="2"/>
      <c r="CB36" s="2"/>
      <c r="CC36" s="7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403" t="s">
        <v>44</v>
      </c>
      <c r="DX36" s="404"/>
      <c r="DY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2"/>
      <c r="FH36" s="2"/>
      <c r="FI36" s="2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GE36" s="4"/>
      <c r="IT36" s="37"/>
      <c r="KK36" s="34"/>
      <c r="KZ36" s="401" t="s">
        <v>45</v>
      </c>
      <c r="LA36" s="402"/>
      <c r="LO36" s="37"/>
      <c r="LQ36" s="38"/>
      <c r="LR36" s="38"/>
      <c r="LZ36" s="34"/>
      <c r="MG36" s="34"/>
      <c r="ML36" s="34"/>
      <c r="MO36" s="34"/>
      <c r="MR36" s="34"/>
    </row>
    <row r="37" spans="3:357" ht="17.25" customHeight="1">
      <c r="D37" s="4"/>
      <c r="L37" s="4"/>
      <c r="S37" s="4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9"/>
      <c r="AL37" s="440" t="s">
        <v>46</v>
      </c>
      <c r="AM37" s="441"/>
      <c r="AN37" s="38"/>
      <c r="AO37" s="38"/>
      <c r="AP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2"/>
      <c r="CA37" s="2"/>
      <c r="CB37" s="2"/>
      <c r="CC37" s="7"/>
      <c r="CD37" s="7"/>
      <c r="CH37" s="7"/>
      <c r="CI37" s="7"/>
      <c r="CJ37" s="7"/>
      <c r="CK37" s="7"/>
      <c r="CL37" s="7"/>
      <c r="CM37" s="7"/>
      <c r="CN37" s="7"/>
      <c r="CO37" s="7"/>
      <c r="CP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369" t="s">
        <v>47</v>
      </c>
      <c r="DX37" s="370"/>
      <c r="DY37" s="35"/>
      <c r="EB37" s="35"/>
      <c r="EC37" s="35"/>
      <c r="ED37" s="35"/>
      <c r="EE37" s="35"/>
      <c r="EF37" s="35"/>
      <c r="EG37" s="35"/>
      <c r="EH37" s="35"/>
      <c r="EI37" s="35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2"/>
      <c r="FJ37" s="2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GE37" s="4"/>
      <c r="IT37" s="447" t="s">
        <v>48</v>
      </c>
      <c r="IU37" s="448"/>
      <c r="KK37" s="34"/>
      <c r="KZ37" s="349" t="s">
        <v>49</v>
      </c>
      <c r="LA37" s="350"/>
      <c r="LI37" s="2"/>
      <c r="LJ37" s="7"/>
      <c r="LK37" s="38"/>
      <c r="LL37" s="7"/>
      <c r="LM37" s="7"/>
      <c r="LO37" s="395" t="s">
        <v>50</v>
      </c>
      <c r="LP37" s="396"/>
      <c r="LQ37" s="38"/>
      <c r="LR37" s="38"/>
      <c r="LZ37" s="34"/>
      <c r="MG37" s="34"/>
      <c r="ML37" s="34"/>
      <c r="MO37" s="34"/>
      <c r="MR37" s="34"/>
    </row>
    <row r="38" spans="3:357" ht="17.25" customHeight="1">
      <c r="D38" s="4"/>
      <c r="L38" s="4"/>
      <c r="S38" s="4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9"/>
      <c r="AL38" s="373" t="s">
        <v>51</v>
      </c>
      <c r="AM38" s="374"/>
      <c r="AN38" s="38"/>
      <c r="AO38" s="38"/>
      <c r="AP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F38" s="2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2"/>
      <c r="CA38" s="2"/>
      <c r="CB38" s="2"/>
      <c r="CC38" s="7"/>
      <c r="CD38" s="7"/>
      <c r="CH38" s="7"/>
      <c r="CI38" s="7"/>
      <c r="CJ38" s="7"/>
      <c r="CK38" s="7"/>
      <c r="CL38" s="7"/>
      <c r="CM38" s="7"/>
      <c r="CN38" s="7"/>
      <c r="CO38" s="7"/>
      <c r="CP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2"/>
      <c r="DX38" s="43">
        <f>DA49+FF49+1</f>
        <v>163</v>
      </c>
      <c r="DY38" s="35"/>
      <c r="EB38" s="35"/>
      <c r="EC38" s="35"/>
      <c r="ED38" s="35"/>
      <c r="EE38" s="35"/>
      <c r="EF38" s="35"/>
      <c r="EG38" s="35"/>
      <c r="EH38" s="35"/>
      <c r="EI38" s="35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2"/>
      <c r="FJ38" s="2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GE38" s="4"/>
      <c r="IT38" s="444" t="s">
        <v>52</v>
      </c>
      <c r="IU38" s="445"/>
      <c r="KK38" s="34"/>
      <c r="KZ38" s="7"/>
      <c r="LA38" s="44">
        <f>KW49+LE49</f>
        <v>16</v>
      </c>
      <c r="LI38" s="2"/>
      <c r="LJ38" s="7"/>
      <c r="LK38" s="38"/>
      <c r="LL38" s="7"/>
      <c r="LM38" s="7"/>
      <c r="LO38" s="446" t="s">
        <v>53</v>
      </c>
      <c r="LP38" s="354"/>
      <c r="LZ38" s="34"/>
      <c r="MG38" s="34"/>
      <c r="ML38" s="34"/>
      <c r="MO38" s="34"/>
      <c r="MR38" s="34"/>
    </row>
    <row r="39" spans="3:357" ht="17.25" customHeight="1">
      <c r="D39" s="4"/>
      <c r="L39" s="4"/>
      <c r="S39" s="4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9"/>
      <c r="AL39" s="2"/>
      <c r="AM39" s="45">
        <f>AD54+AM54+AX54+1</f>
        <v>82</v>
      </c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F39" s="7"/>
      <c r="BG39" s="7"/>
      <c r="BH39" s="7"/>
      <c r="BI39" s="7"/>
      <c r="BJ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2"/>
      <c r="CA39" s="2"/>
      <c r="CB39" s="2"/>
      <c r="CC39" s="46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35"/>
      <c r="DX39" s="296">
        <f>DA50+FF50+1</f>
        <v>222</v>
      </c>
      <c r="DY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31"/>
      <c r="EZ39" s="31"/>
      <c r="FA39" s="31"/>
      <c r="FB39" s="31"/>
      <c r="FC39" s="31"/>
      <c r="FD39" s="31"/>
      <c r="FE39" s="7"/>
      <c r="FF39" s="7"/>
      <c r="FG39" s="6"/>
      <c r="FH39" s="6"/>
      <c r="FI39" s="2"/>
      <c r="FJ39" s="2"/>
      <c r="FK39" s="46"/>
      <c r="FL39" s="47"/>
      <c r="FM39" s="47"/>
      <c r="FN39" s="47"/>
      <c r="FO39" s="2"/>
      <c r="FP39" s="2"/>
      <c r="FQ39" s="7"/>
      <c r="FR39" s="7"/>
      <c r="FS39" s="7"/>
      <c r="FT39" s="7"/>
      <c r="GE39" s="4"/>
      <c r="IT39" s="2"/>
      <c r="IU39" s="48">
        <f>IU49+GP45</f>
        <v>158</v>
      </c>
      <c r="KK39" s="37"/>
      <c r="KZ39" s="7"/>
      <c r="LA39" s="306">
        <f>KW50+LE50</f>
        <v>16</v>
      </c>
      <c r="LI39" s="2"/>
      <c r="LJ39" s="7"/>
      <c r="LK39" s="38"/>
      <c r="LL39" s="38"/>
      <c r="LM39" s="38"/>
      <c r="LO39" s="7"/>
      <c r="LP39" s="44">
        <f>LP44+2</f>
        <v>14</v>
      </c>
      <c r="LZ39" s="34"/>
      <c r="MG39" s="34"/>
      <c r="ML39" s="34"/>
      <c r="MO39" s="34"/>
      <c r="MR39" s="34"/>
    </row>
    <row r="40" spans="3:357" ht="17.25">
      <c r="D40" s="4"/>
      <c r="L40" s="4"/>
      <c r="S40" s="4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9"/>
      <c r="AL40" s="38"/>
      <c r="AM40" s="298">
        <f>AD55+AM55+AX55+1</f>
        <v>82</v>
      </c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F40" s="7"/>
      <c r="BG40" s="7"/>
      <c r="BH40" s="7"/>
      <c r="BI40" s="7"/>
      <c r="BJ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2"/>
      <c r="CA40" s="2"/>
      <c r="CB40" s="2"/>
      <c r="CC40" s="49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9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31"/>
      <c r="EZ40" s="31"/>
      <c r="FA40" s="31"/>
      <c r="FB40" s="31"/>
      <c r="FC40" s="31"/>
      <c r="FD40" s="31"/>
      <c r="FE40" s="7"/>
      <c r="FF40" s="7"/>
      <c r="FG40" s="7"/>
      <c r="FH40" s="7"/>
      <c r="FI40" s="2"/>
      <c r="FJ40" s="2"/>
      <c r="FK40" s="46"/>
      <c r="FL40" s="46"/>
      <c r="FM40" s="46"/>
      <c r="FN40" s="7"/>
      <c r="FO40" s="2"/>
      <c r="FP40" s="2"/>
      <c r="FQ40" s="7"/>
      <c r="FR40" s="7"/>
      <c r="FS40" s="7"/>
      <c r="FT40" s="2"/>
      <c r="GE40" s="4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98">
        <f>IU50+GP46</f>
        <v>158</v>
      </c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KK40" s="391" t="s">
        <v>54</v>
      </c>
      <c r="KL40" s="392"/>
      <c r="KS40" s="38"/>
      <c r="KU40" s="38"/>
      <c r="KV40" s="38"/>
      <c r="KW40" s="38"/>
      <c r="KX40" s="38"/>
      <c r="LA40" s="4"/>
      <c r="LB40" s="38"/>
      <c r="LC40" s="38"/>
      <c r="LG40" s="38"/>
      <c r="LI40" s="7"/>
      <c r="LJ40" s="7"/>
      <c r="LK40" s="38"/>
      <c r="LL40" s="38"/>
      <c r="LM40" s="38"/>
      <c r="LO40" s="7"/>
      <c r="LP40" s="305">
        <f>LP45+2</f>
        <v>14</v>
      </c>
      <c r="LQ40" s="318" t="s">
        <v>55</v>
      </c>
      <c r="LR40" s="318"/>
      <c r="LZ40" s="34"/>
      <c r="MG40" s="34"/>
      <c r="ML40" s="34"/>
      <c r="MO40" s="34"/>
      <c r="MR40" s="34"/>
    </row>
    <row r="41" spans="3:357" ht="17.25" customHeight="1">
      <c r="D41" s="4"/>
      <c r="L41" s="4"/>
      <c r="S41" s="4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9"/>
      <c r="AL41" s="38"/>
      <c r="AM41" s="52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2"/>
      <c r="CA41" s="2"/>
      <c r="CB41" s="2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U41" s="7"/>
      <c r="CV41" s="7"/>
      <c r="CW41" s="7"/>
      <c r="CX41" s="7"/>
      <c r="CY41" s="7"/>
      <c r="CZ41" s="7"/>
      <c r="DA41" s="12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53"/>
      <c r="EZ41" s="53"/>
      <c r="FA41" s="53"/>
      <c r="FB41" s="53"/>
      <c r="FC41" s="53"/>
      <c r="FD41" s="53"/>
      <c r="FE41" s="53"/>
      <c r="FF41" s="54"/>
      <c r="FG41" s="7"/>
      <c r="FH41" s="7"/>
      <c r="FI41" s="7"/>
      <c r="FJ41" s="7"/>
      <c r="FK41" s="7"/>
      <c r="FL41" s="7"/>
      <c r="FM41" s="7"/>
      <c r="FN41" s="7"/>
      <c r="FO41" s="2"/>
      <c r="FP41" s="2"/>
      <c r="FQ41" s="7"/>
      <c r="FR41" s="7"/>
      <c r="FS41" s="7"/>
      <c r="FT41" s="2"/>
      <c r="GE41" s="4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U41" s="4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KK41" s="369" t="s">
        <v>47</v>
      </c>
      <c r="KL41" s="370"/>
      <c r="KS41" s="38"/>
      <c r="KU41" s="38"/>
      <c r="KV41" s="38"/>
      <c r="KW41" s="38"/>
      <c r="KX41" s="38"/>
      <c r="KY41" s="38"/>
      <c r="LA41" s="4"/>
      <c r="LB41" s="314" t="s">
        <v>56</v>
      </c>
      <c r="LC41" s="7" t="s">
        <v>57</v>
      </c>
      <c r="LD41" s="7"/>
      <c r="LE41" s="38"/>
      <c r="LF41" s="38"/>
      <c r="LG41" s="38"/>
      <c r="LI41" s="7"/>
      <c r="LJ41" s="7"/>
      <c r="LK41" s="38"/>
      <c r="LL41" s="7"/>
      <c r="LM41" s="38"/>
      <c r="LO41" s="38"/>
      <c r="LP41" s="55"/>
      <c r="LQ41" s="443" t="s">
        <v>58</v>
      </c>
      <c r="LR41" s="443"/>
      <c r="LS41" s="38"/>
      <c r="LT41" s="38"/>
      <c r="LU41" s="38"/>
      <c r="LV41" s="38"/>
      <c r="LZ41" s="34"/>
      <c r="MG41" s="34"/>
      <c r="ML41" s="34"/>
      <c r="MO41" s="34"/>
      <c r="MR41" s="34"/>
    </row>
    <row r="42" spans="3:357" ht="17.25" customHeight="1">
      <c r="D42" s="4"/>
      <c r="L42" s="4"/>
      <c r="S42" s="4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9"/>
      <c r="AL42" s="38"/>
      <c r="AM42" s="52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2"/>
      <c r="CA42" s="2"/>
      <c r="CB42" s="2"/>
      <c r="CC42" s="7"/>
      <c r="CD42" s="7"/>
      <c r="CE42" s="7"/>
      <c r="CF42" s="7"/>
      <c r="CG42" s="7"/>
      <c r="CK42" s="7"/>
      <c r="CL42" s="7"/>
      <c r="CM42" s="7"/>
      <c r="CN42" s="7"/>
      <c r="CO42" s="7"/>
      <c r="CP42" s="7"/>
      <c r="CU42" s="7"/>
      <c r="CV42" s="47"/>
      <c r="CW42" s="7"/>
      <c r="CX42" s="7"/>
      <c r="CY42" s="2"/>
      <c r="CZ42" s="2"/>
      <c r="DA42" s="57"/>
      <c r="DB42" s="2"/>
      <c r="DC42" s="20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6"/>
      <c r="EZ42" s="31"/>
      <c r="FA42" s="31"/>
      <c r="FB42" s="31"/>
      <c r="FC42" s="31"/>
      <c r="FD42" s="31"/>
      <c r="FE42" s="2"/>
      <c r="FF42" s="58"/>
      <c r="FG42" s="7"/>
      <c r="FH42" s="7"/>
      <c r="FI42" s="7"/>
      <c r="FJ42" s="7"/>
      <c r="FK42" s="7"/>
      <c r="FL42" s="7"/>
      <c r="FM42" s="7"/>
      <c r="FN42" s="7"/>
      <c r="FO42" s="2"/>
      <c r="FP42" s="2"/>
      <c r="FQ42" s="6"/>
      <c r="FR42" s="6"/>
      <c r="FS42" s="35"/>
      <c r="FT42" s="2"/>
      <c r="GE42" s="4"/>
      <c r="GL42" s="5"/>
      <c r="GM42" s="5"/>
      <c r="GN42" s="5"/>
      <c r="GO42" s="11"/>
      <c r="GP42" s="59"/>
      <c r="GQ42" s="60"/>
      <c r="GR42" s="60"/>
      <c r="GS42" s="60"/>
      <c r="GT42" s="60"/>
      <c r="GU42" s="14"/>
      <c r="GV42" s="61"/>
      <c r="GW42" s="61"/>
      <c r="GX42" s="61"/>
      <c r="GY42" s="61"/>
      <c r="GZ42" s="61"/>
      <c r="HA42" s="61"/>
      <c r="HB42" s="61"/>
      <c r="HC42" s="61"/>
      <c r="HD42" s="61"/>
      <c r="HE42" s="61"/>
      <c r="HF42" s="61"/>
      <c r="HG42" s="61"/>
      <c r="HH42" s="61"/>
      <c r="HI42" s="61"/>
      <c r="HJ42" s="61"/>
      <c r="HK42" s="61"/>
      <c r="HL42" s="61"/>
      <c r="HM42" s="61"/>
      <c r="HN42" s="61"/>
      <c r="HO42" s="61"/>
      <c r="HP42" s="61"/>
      <c r="HQ42" s="61"/>
      <c r="HR42" s="61"/>
      <c r="HS42" s="61"/>
      <c r="HT42" s="61"/>
      <c r="HU42" s="61"/>
      <c r="HV42" s="61"/>
      <c r="HW42" s="61"/>
      <c r="HX42" s="61"/>
      <c r="HY42" s="61"/>
      <c r="HZ42" s="61"/>
      <c r="IA42" s="61"/>
      <c r="IB42" s="61"/>
      <c r="IC42" s="61"/>
      <c r="ID42" s="61"/>
      <c r="IE42" s="61"/>
      <c r="IF42" s="61"/>
      <c r="IG42" s="61"/>
      <c r="IH42" s="61"/>
      <c r="II42" s="61"/>
      <c r="IJ42" s="61"/>
      <c r="IK42" s="61"/>
      <c r="IL42" s="61"/>
      <c r="IM42" s="61"/>
      <c r="IN42" s="61"/>
      <c r="IO42" s="61"/>
      <c r="IP42" s="61"/>
      <c r="IQ42" s="61"/>
      <c r="IR42" s="61"/>
      <c r="IS42" s="61"/>
      <c r="IT42" s="33"/>
      <c r="IU42" s="4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KK42" s="7"/>
      <c r="KL42" s="44">
        <f>KL49</f>
        <v>20</v>
      </c>
      <c r="KS42" s="38"/>
      <c r="KU42" s="38"/>
      <c r="KV42" s="38"/>
      <c r="KW42" s="38"/>
      <c r="KX42" s="38"/>
      <c r="KY42" s="7"/>
      <c r="LA42" s="15"/>
      <c r="LB42" s="314"/>
      <c r="LC42" s="7" t="s">
        <v>59</v>
      </c>
      <c r="LD42" s="7"/>
      <c r="LE42" s="38"/>
      <c r="LF42" s="38"/>
      <c r="LG42" s="38"/>
      <c r="LI42" s="7"/>
      <c r="LJ42" s="7"/>
      <c r="LK42" s="38"/>
      <c r="LL42" s="62"/>
      <c r="LM42" s="38"/>
      <c r="LO42" s="389" t="s">
        <v>60</v>
      </c>
      <c r="LP42" s="390"/>
      <c r="LR42" s="38"/>
      <c r="LS42" s="38"/>
      <c r="LT42" s="38"/>
      <c r="LU42" s="38"/>
      <c r="LV42" s="38"/>
      <c r="LZ42" s="34"/>
      <c r="MG42" s="34"/>
      <c r="ML42" s="34"/>
      <c r="MO42" s="34"/>
      <c r="MR42" s="34"/>
    </row>
    <row r="43" spans="3:357" ht="17.25">
      <c r="D43" s="4"/>
      <c r="L43" s="4"/>
      <c r="S43" s="4"/>
      <c r="AA43" s="7"/>
      <c r="AB43" s="7"/>
      <c r="AC43" s="20"/>
      <c r="AD43" s="7"/>
      <c r="AE43" s="7"/>
      <c r="AF43" s="7"/>
      <c r="AG43" s="7"/>
      <c r="AH43" s="7"/>
      <c r="AI43" s="7"/>
      <c r="AJ43" s="7"/>
      <c r="AK43" s="39"/>
      <c r="AL43" s="7"/>
      <c r="AM43" s="52"/>
      <c r="AN43" s="7"/>
      <c r="AO43" s="7"/>
      <c r="AP43" s="63"/>
      <c r="AQ43" s="38"/>
      <c r="AR43" s="63"/>
      <c r="AS43" s="63"/>
      <c r="AT43" s="63"/>
      <c r="AU43" s="7"/>
      <c r="AV43" s="7"/>
      <c r="AW43" s="7"/>
      <c r="AX43" s="7"/>
      <c r="AY43" s="7"/>
      <c r="AZ43" s="7"/>
      <c r="BA43" s="7"/>
      <c r="BB43" s="7"/>
      <c r="BC43" s="7"/>
      <c r="BD43" s="7"/>
      <c r="BF43" s="64"/>
      <c r="BG43" s="65"/>
      <c r="BH43" s="65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CA43" s="2"/>
      <c r="CB43" s="2"/>
      <c r="CC43" s="7"/>
      <c r="CD43" s="64"/>
      <c r="CE43" s="64"/>
      <c r="CF43" s="64"/>
      <c r="CG43" s="64"/>
      <c r="CK43" s="64"/>
      <c r="CL43" s="64"/>
      <c r="CM43" s="64"/>
      <c r="CN43" s="64"/>
      <c r="CO43" s="64"/>
      <c r="CP43" s="64"/>
      <c r="CU43" s="64"/>
      <c r="CV43" s="47"/>
      <c r="CW43" s="7"/>
      <c r="CX43" s="7"/>
      <c r="CY43" s="2"/>
      <c r="CZ43" s="2"/>
      <c r="DA43" s="57"/>
      <c r="DB43" s="2"/>
      <c r="DC43" s="20"/>
      <c r="DD43" s="64"/>
      <c r="DE43" s="46"/>
      <c r="DF43" s="46"/>
      <c r="DG43" s="46"/>
      <c r="DH43" s="46"/>
      <c r="DI43" s="46"/>
      <c r="DJ43" s="46"/>
      <c r="DK43" s="46"/>
      <c r="DL43" s="46"/>
      <c r="DM43" s="46"/>
      <c r="DN43" s="46"/>
      <c r="DO43" s="46"/>
      <c r="DP43" s="46"/>
      <c r="DQ43" s="46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6"/>
      <c r="EZ43" s="31"/>
      <c r="FA43" s="31"/>
      <c r="FB43" s="31"/>
      <c r="FC43" s="31"/>
      <c r="FD43" s="31"/>
      <c r="FE43" s="2"/>
      <c r="FF43" s="66"/>
      <c r="FG43" s="7"/>
      <c r="FH43" s="7"/>
      <c r="FI43" s="7"/>
      <c r="FJ43" s="7"/>
      <c r="FK43" s="7"/>
      <c r="FL43" s="7"/>
      <c r="FM43" s="7"/>
      <c r="FN43" s="7"/>
      <c r="FO43" s="2"/>
      <c r="FP43" s="2"/>
      <c r="FQ43" s="6"/>
      <c r="FR43" s="6"/>
      <c r="FS43" s="35"/>
      <c r="FT43" s="2"/>
      <c r="GE43" s="4"/>
      <c r="GL43" s="5"/>
      <c r="GM43" s="5"/>
      <c r="GN43" s="5"/>
      <c r="GO43" s="395" t="s">
        <v>61</v>
      </c>
      <c r="GP43" s="396"/>
      <c r="GQ43" s="5"/>
      <c r="GR43" s="5"/>
      <c r="GS43" s="5"/>
      <c r="GT43" s="5"/>
      <c r="GV43" s="2"/>
      <c r="GW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U43" s="4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KK43" s="7"/>
      <c r="KL43" s="306">
        <f>KL50</f>
        <v>20</v>
      </c>
      <c r="KR43" s="38"/>
      <c r="KS43" s="38"/>
      <c r="KU43" s="38"/>
      <c r="KV43" s="38"/>
      <c r="KW43" s="38"/>
      <c r="KX43" s="38"/>
      <c r="KY43" s="28"/>
      <c r="LA43" s="4"/>
      <c r="LE43" s="38"/>
      <c r="LF43" s="38"/>
      <c r="LG43" s="38"/>
      <c r="LI43" s="7"/>
      <c r="LJ43" s="7"/>
      <c r="LK43" s="38"/>
      <c r="LL43" s="38"/>
      <c r="LM43" s="38"/>
      <c r="LO43" s="369" t="s">
        <v>62</v>
      </c>
      <c r="LP43" s="370"/>
      <c r="LR43" s="38"/>
      <c r="LS43" s="38"/>
      <c r="LT43" s="38"/>
      <c r="LU43" s="38"/>
      <c r="LV43" s="38"/>
      <c r="LZ43" s="34"/>
      <c r="MG43" s="34"/>
      <c r="ML43" s="34"/>
      <c r="MO43" s="34"/>
      <c r="MR43" s="34"/>
    </row>
    <row r="44" spans="3:357" ht="17.25">
      <c r="D44" s="4"/>
      <c r="L44" s="4"/>
      <c r="S44" s="4"/>
      <c r="AA44" s="7"/>
      <c r="AB44" s="7"/>
      <c r="AC44" s="20"/>
      <c r="AD44" s="7"/>
      <c r="AE44" s="7"/>
      <c r="AF44" s="7"/>
      <c r="AG44" s="7"/>
      <c r="AH44" s="7"/>
      <c r="AI44" s="7"/>
      <c r="AJ44" s="7"/>
      <c r="AK44" s="39"/>
      <c r="AL44" s="7"/>
      <c r="AM44" s="52"/>
      <c r="AN44" s="67"/>
      <c r="AO44" s="67"/>
      <c r="AP44" s="67"/>
      <c r="AQ44" s="38"/>
      <c r="AR44" s="67"/>
      <c r="AS44" s="67"/>
      <c r="AT44" s="67"/>
      <c r="AU44" s="7"/>
      <c r="AV44" s="7"/>
      <c r="AW44" s="7"/>
      <c r="AX44" s="7"/>
      <c r="AY44" s="7"/>
      <c r="AZ44" s="7"/>
      <c r="BA44" s="7"/>
      <c r="BB44" s="7"/>
      <c r="BC44" s="7"/>
      <c r="BD44" s="7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CA44" s="2"/>
      <c r="CB44" s="2"/>
      <c r="CC44" s="7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U44" s="46"/>
      <c r="CV44" s="46"/>
      <c r="CW44" s="7"/>
      <c r="CX44" s="7"/>
      <c r="CY44" s="2"/>
      <c r="CZ44" s="2"/>
      <c r="DA44" s="57"/>
      <c r="DB44" s="2"/>
      <c r="DC44" s="46"/>
      <c r="DD44" s="47"/>
      <c r="DE44" s="46"/>
      <c r="DF44" s="46"/>
      <c r="DG44" s="46"/>
      <c r="DH44" s="46"/>
      <c r="DI44" s="46"/>
      <c r="DJ44" s="46"/>
      <c r="DK44" s="46"/>
      <c r="DL44" s="46"/>
      <c r="DM44" s="46"/>
      <c r="DN44" s="46"/>
      <c r="DO44" s="46"/>
      <c r="DP44" s="46"/>
      <c r="DQ44" s="46"/>
      <c r="DR44" s="46"/>
      <c r="DS44" s="46"/>
      <c r="DT44" s="46"/>
      <c r="DU44" s="46"/>
      <c r="DV44" s="46"/>
      <c r="DW44" s="46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6"/>
      <c r="EZ44" s="31"/>
      <c r="FA44" s="2"/>
      <c r="FB44" s="2"/>
      <c r="FC44" s="31"/>
      <c r="FD44" s="31"/>
      <c r="FE44" s="2"/>
      <c r="FF44" s="66"/>
      <c r="FG44" s="7"/>
      <c r="FH44" s="7"/>
      <c r="FI44" s="7"/>
      <c r="FJ44" s="7"/>
      <c r="FK44" s="7"/>
      <c r="FL44" s="7"/>
      <c r="FM44" s="7"/>
      <c r="FN44" s="7"/>
      <c r="FO44" s="2"/>
      <c r="FP44" s="2"/>
      <c r="FQ44" s="6"/>
      <c r="FR44" s="6"/>
      <c r="FS44" s="35"/>
      <c r="FT44" s="2"/>
      <c r="GE44" s="4"/>
      <c r="GK44" s="5"/>
      <c r="GL44" s="5"/>
      <c r="GM44" s="5"/>
      <c r="GN44" s="5"/>
      <c r="GO44" s="353" t="s">
        <v>63</v>
      </c>
      <c r="GP44" s="354"/>
      <c r="GQ44" s="5"/>
      <c r="GR44" s="5"/>
      <c r="GS44" s="5"/>
      <c r="GT44" s="5"/>
      <c r="GU44" s="2"/>
      <c r="GV44" s="2"/>
      <c r="GW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57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KK44" s="2"/>
      <c r="KL44" s="57"/>
      <c r="KR44" s="38"/>
      <c r="KS44" s="38"/>
      <c r="KU44" s="38"/>
      <c r="KV44" s="38"/>
      <c r="KW44" s="38"/>
      <c r="KX44" s="38"/>
      <c r="KY44" s="69"/>
      <c r="KZ44" s="69"/>
      <c r="LA44" s="70"/>
      <c r="LE44" s="38"/>
      <c r="LF44" s="38"/>
      <c r="LG44" s="38"/>
      <c r="LI44" s="7"/>
      <c r="LJ44" s="7"/>
      <c r="LK44" s="38"/>
      <c r="LL44" s="56"/>
      <c r="LM44" s="56"/>
      <c r="LO44" s="7"/>
      <c r="LP44" s="44">
        <f>LJ59+LR59+LV59+LN59+1</f>
        <v>12</v>
      </c>
      <c r="LR44" s="7"/>
      <c r="LS44" s="7"/>
      <c r="LT44" s="38"/>
      <c r="LU44" s="38"/>
      <c r="LV44" s="38"/>
      <c r="LZ44" s="34"/>
      <c r="MG44" s="34"/>
      <c r="ML44" s="34"/>
      <c r="MO44" s="34"/>
      <c r="MR44" s="34"/>
    </row>
    <row r="45" spans="3:357" ht="17.25" customHeight="1">
      <c r="D45" s="4"/>
      <c r="L45" s="4"/>
      <c r="S45" s="4"/>
      <c r="AA45" s="7"/>
      <c r="AB45" s="7"/>
      <c r="AC45" s="20"/>
      <c r="AD45" s="7"/>
      <c r="AE45" s="7"/>
      <c r="AF45" s="7"/>
      <c r="AG45" s="7"/>
      <c r="AH45" s="7"/>
      <c r="AI45" s="7"/>
      <c r="AJ45" s="7"/>
      <c r="AK45" s="39"/>
      <c r="AL45" s="71"/>
      <c r="AM45" s="9"/>
      <c r="AN45" s="416"/>
      <c r="AO45" s="416"/>
      <c r="AP45" s="71"/>
      <c r="AQ45" s="71"/>
      <c r="AR45" s="71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2"/>
      <c r="CA45" s="2"/>
      <c r="CB45" s="2"/>
      <c r="CC45" s="7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U45" s="46"/>
      <c r="CV45" s="46"/>
      <c r="CW45" s="7"/>
      <c r="CX45" s="7"/>
      <c r="CY45" s="2"/>
      <c r="CZ45" s="2"/>
      <c r="DA45" s="57"/>
      <c r="DB45" s="7"/>
      <c r="DC45" s="47"/>
      <c r="DD45" s="47"/>
      <c r="DE45" s="46"/>
      <c r="DF45" s="46"/>
      <c r="DG45" s="46"/>
      <c r="DH45" s="46"/>
      <c r="DI45" s="46"/>
      <c r="DJ45" s="46"/>
      <c r="DK45" s="46"/>
      <c r="DL45" s="46"/>
      <c r="DM45" s="46"/>
      <c r="DN45" s="46"/>
      <c r="DO45" s="46"/>
      <c r="DP45" s="46"/>
      <c r="DQ45" s="46"/>
      <c r="DR45" s="46"/>
      <c r="DS45" s="46"/>
      <c r="DT45" s="46"/>
      <c r="DU45" s="46"/>
      <c r="DV45" s="46"/>
      <c r="DW45" s="46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6"/>
      <c r="EZ45" s="31"/>
      <c r="FA45" s="2"/>
      <c r="FB45" s="2"/>
      <c r="FC45" s="31"/>
      <c r="FD45" s="31"/>
      <c r="FE45" s="2"/>
      <c r="FF45" s="5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6"/>
      <c r="FR45" s="6"/>
      <c r="FS45" s="35"/>
      <c r="FT45" s="2"/>
      <c r="GE45" s="4"/>
      <c r="GK45" s="5"/>
      <c r="GL45" s="5"/>
      <c r="GM45" s="5"/>
      <c r="GN45" s="5"/>
      <c r="GO45" s="20"/>
      <c r="GP45" s="72">
        <f>GP50</f>
        <v>11</v>
      </c>
      <c r="GQ45" s="5"/>
      <c r="GR45" s="5"/>
      <c r="GS45" s="5"/>
      <c r="GT45" s="5"/>
      <c r="GU45" s="2"/>
      <c r="GV45" s="2"/>
      <c r="GW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57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KK45" s="2"/>
      <c r="KL45" s="57"/>
      <c r="KR45" s="38"/>
      <c r="KS45" s="38"/>
      <c r="KU45" s="38"/>
      <c r="KV45" s="38"/>
      <c r="KW45" s="55"/>
      <c r="KX45" s="73"/>
      <c r="KY45" s="13"/>
      <c r="KZ45" s="74"/>
      <c r="LA45" s="73"/>
      <c r="LB45" s="73"/>
      <c r="LC45" s="73"/>
      <c r="LD45" s="75"/>
      <c r="LE45" s="38"/>
      <c r="LF45" s="38"/>
      <c r="LG45" s="38"/>
      <c r="LI45" s="7"/>
      <c r="LJ45" s="7"/>
      <c r="LK45" s="38"/>
      <c r="LL45" s="7"/>
      <c r="LM45" s="7"/>
      <c r="LO45" s="7"/>
      <c r="LP45" s="305">
        <f>LJ60+LR60+LV60+LN60+1</f>
        <v>12</v>
      </c>
      <c r="LR45" s="7"/>
      <c r="LS45" s="7"/>
      <c r="LT45" s="38"/>
      <c r="LU45" s="38"/>
      <c r="LV45" s="38"/>
      <c r="LZ45" s="34"/>
      <c r="MG45" s="34"/>
      <c r="ML45" s="34"/>
      <c r="MO45" s="34"/>
      <c r="MR45" s="34"/>
    </row>
    <row r="46" spans="3:357" ht="17.25" customHeight="1">
      <c r="D46" s="4"/>
      <c r="L46" s="4"/>
      <c r="S46" s="36"/>
      <c r="AA46" s="76"/>
      <c r="AB46" s="29"/>
      <c r="AC46" s="29"/>
      <c r="AD46" s="29"/>
      <c r="AE46" s="29"/>
      <c r="AF46" s="7"/>
      <c r="AG46" s="7"/>
      <c r="AH46" s="7"/>
      <c r="AI46" s="7"/>
      <c r="AJ46" s="7"/>
      <c r="AK46" s="39"/>
      <c r="AL46" s="71"/>
      <c r="AM46" s="9"/>
      <c r="AN46" s="416"/>
      <c r="AO46" s="416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F46" s="7"/>
      <c r="BG46" s="7"/>
      <c r="BH46" s="68"/>
      <c r="BI46" s="68"/>
      <c r="BJ46" s="68"/>
      <c r="BK46" s="68"/>
      <c r="BL46" s="68"/>
      <c r="BM46" s="68"/>
      <c r="BN46" s="46"/>
      <c r="BO46" s="46"/>
      <c r="BP46" s="46"/>
      <c r="BQ46" s="46"/>
      <c r="BR46" s="46"/>
      <c r="BS46" s="46"/>
      <c r="BT46" s="46"/>
      <c r="BU46" s="46"/>
      <c r="BV46" s="46"/>
      <c r="BW46" s="46"/>
      <c r="BX46" s="46"/>
      <c r="BY46" s="46"/>
      <c r="BZ46" s="2"/>
      <c r="CA46" s="2"/>
      <c r="CB46" s="2"/>
      <c r="CC46" s="28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/>
      <c r="CP46" s="46"/>
      <c r="CQ46" s="46"/>
      <c r="CR46" s="46"/>
      <c r="CS46" s="46"/>
      <c r="CT46" s="46"/>
      <c r="CU46" s="46"/>
      <c r="CV46" s="7"/>
      <c r="CW46" s="7"/>
      <c r="CX46" s="7"/>
      <c r="CY46" s="2"/>
      <c r="DA46" s="36"/>
      <c r="DB46" s="47"/>
      <c r="DC46" s="46"/>
      <c r="DD46" s="46"/>
      <c r="DE46" s="46"/>
      <c r="DF46" s="46"/>
      <c r="DG46" s="46"/>
      <c r="DH46" s="46"/>
      <c r="DI46" s="46"/>
      <c r="DJ46" s="46"/>
      <c r="DK46" s="46"/>
      <c r="DL46" s="46"/>
      <c r="DM46" s="46"/>
      <c r="DN46" s="46"/>
      <c r="DO46" s="46"/>
      <c r="DP46" s="46"/>
      <c r="DQ46" s="46"/>
      <c r="DR46" s="46"/>
      <c r="DS46" s="46"/>
      <c r="DT46" s="46"/>
      <c r="DU46" s="46"/>
      <c r="DV46" s="46"/>
      <c r="DW46" s="46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77"/>
      <c r="EJ46" s="77"/>
      <c r="EK46" s="78"/>
      <c r="EL46" s="7"/>
      <c r="EM46" s="7"/>
      <c r="EN46" s="7"/>
      <c r="EO46" s="7"/>
      <c r="EP46" s="2"/>
      <c r="EQ46" s="2"/>
      <c r="ER46" s="2"/>
      <c r="ES46" s="2"/>
      <c r="ET46" s="2"/>
      <c r="EU46" s="2"/>
      <c r="EV46" s="2"/>
      <c r="EW46" s="2"/>
      <c r="EX46" s="2"/>
      <c r="EY46" s="6"/>
      <c r="EZ46" s="31"/>
      <c r="FA46" s="2"/>
      <c r="FB46" s="2"/>
      <c r="FC46" s="31"/>
      <c r="FD46" s="31"/>
      <c r="FF46" s="36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6"/>
      <c r="FR46" s="6"/>
      <c r="FS46" s="35"/>
      <c r="FT46" s="2"/>
      <c r="GE46" s="36"/>
      <c r="GK46" s="5"/>
      <c r="GL46" s="5"/>
      <c r="GM46" s="5"/>
      <c r="GN46" s="5"/>
      <c r="GP46" s="296">
        <f>GP51</f>
        <v>11</v>
      </c>
      <c r="GQ46" s="5"/>
      <c r="GR46" s="5"/>
      <c r="GS46" s="5"/>
      <c r="GT46" s="5"/>
      <c r="GU46" s="2"/>
      <c r="GV46" s="2"/>
      <c r="GW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79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KK46" s="2"/>
      <c r="KL46" s="79"/>
      <c r="KR46" s="38"/>
      <c r="KS46" s="38"/>
      <c r="KT46" s="38"/>
      <c r="KU46" s="38"/>
      <c r="KV46" s="38"/>
      <c r="KW46" s="52"/>
      <c r="KX46" s="38"/>
      <c r="KY46" s="7"/>
      <c r="KZ46" s="80"/>
      <c r="LA46" s="38"/>
      <c r="LB46" s="38"/>
      <c r="LC46" s="38"/>
      <c r="LD46" s="81"/>
      <c r="LE46" s="38"/>
      <c r="LF46" s="38"/>
      <c r="LG46" s="38"/>
      <c r="LI46" s="7"/>
      <c r="LJ46" s="7"/>
      <c r="LK46" s="38"/>
      <c r="LL46" s="82"/>
      <c r="LM46" s="13"/>
      <c r="LN46" s="73"/>
      <c r="LO46" s="73"/>
      <c r="LP46" s="14"/>
      <c r="LQ46" s="14"/>
      <c r="LR46" s="12"/>
      <c r="LS46" s="13"/>
      <c r="LT46" s="73"/>
      <c r="LU46" s="73"/>
      <c r="LV46" s="52"/>
      <c r="LZ46" s="37"/>
      <c r="MG46" s="37"/>
      <c r="ML46" s="37"/>
      <c r="MO46" s="37"/>
      <c r="MR46" s="37"/>
    </row>
    <row r="47" spans="3:357" ht="17.25" customHeight="1">
      <c r="C47" s="389" t="s">
        <v>64</v>
      </c>
      <c r="D47" s="400"/>
      <c r="E47" s="84"/>
      <c r="F47" s="35"/>
      <c r="G47" s="35"/>
      <c r="H47" s="35"/>
      <c r="I47" s="35"/>
      <c r="J47" s="35"/>
      <c r="K47" s="440" t="s">
        <v>65</v>
      </c>
      <c r="L47" s="441"/>
      <c r="M47" s="35"/>
      <c r="O47" s="85"/>
      <c r="P47" s="85"/>
      <c r="Q47" s="85"/>
      <c r="R47" s="403" t="s">
        <v>66</v>
      </c>
      <c r="S47" s="404"/>
      <c r="T47" s="85"/>
      <c r="U47" s="336" t="s">
        <v>67</v>
      </c>
      <c r="V47" s="336"/>
      <c r="W47" s="336"/>
      <c r="X47" s="336"/>
      <c r="Y47" s="336"/>
      <c r="AA47" s="71"/>
      <c r="AB47" s="29"/>
      <c r="AC47" s="29"/>
      <c r="AD47" s="29"/>
      <c r="AE47" s="29"/>
      <c r="AF47" s="7"/>
      <c r="AG47" s="7"/>
      <c r="AH47" s="38"/>
      <c r="AI47" s="38"/>
      <c r="AJ47" s="38"/>
      <c r="AK47" s="39"/>
      <c r="AL47" s="7"/>
      <c r="AM47" s="9"/>
      <c r="AN47" s="442" t="s">
        <v>68</v>
      </c>
      <c r="AO47" s="442"/>
      <c r="AP47" s="67"/>
      <c r="AQ47" s="67"/>
      <c r="AR47" s="7"/>
      <c r="AS47" s="7"/>
      <c r="AT47" s="7"/>
      <c r="AU47" s="7"/>
      <c r="AV47" s="7"/>
      <c r="AW47" s="63"/>
      <c r="AX47" s="63"/>
      <c r="AY47" s="63"/>
      <c r="AZ47" s="63"/>
      <c r="BA47" s="63"/>
      <c r="BB47" s="63"/>
      <c r="BC47" s="7"/>
      <c r="BD47" s="7"/>
      <c r="BF47" s="7"/>
      <c r="BG47" s="7"/>
      <c r="BH47" s="68"/>
      <c r="BI47" s="68"/>
      <c r="BJ47" s="68"/>
      <c r="BK47" s="68"/>
      <c r="BL47" s="68"/>
      <c r="BM47" s="68"/>
      <c r="BN47" s="46"/>
      <c r="BO47" s="46"/>
      <c r="BP47" s="46"/>
      <c r="BQ47" s="46"/>
      <c r="BR47" s="46"/>
      <c r="BS47" s="46"/>
      <c r="BT47" s="46"/>
      <c r="BU47" s="46"/>
      <c r="BV47" s="46"/>
      <c r="BW47" s="46"/>
      <c r="BX47" s="46"/>
      <c r="BY47" s="46"/>
      <c r="BZ47" s="2"/>
      <c r="CA47" s="2"/>
      <c r="CB47" s="2"/>
      <c r="CC47" s="7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46"/>
      <c r="CU47" s="46"/>
      <c r="CV47" s="7"/>
      <c r="CW47" s="7"/>
      <c r="CX47" s="7"/>
      <c r="CY47" s="2"/>
      <c r="CZ47" s="395" t="s">
        <v>16</v>
      </c>
      <c r="DA47" s="396"/>
      <c r="DB47" s="47"/>
      <c r="DC47" s="46"/>
      <c r="DD47" s="46"/>
      <c r="DE47" s="46"/>
      <c r="DF47" s="46"/>
      <c r="DG47" s="46"/>
      <c r="DH47" s="46"/>
      <c r="DI47" s="46"/>
      <c r="DJ47" s="46"/>
      <c r="DK47" s="46"/>
      <c r="DL47" s="46"/>
      <c r="DM47" s="46"/>
      <c r="DN47" s="46"/>
      <c r="DO47" s="46"/>
      <c r="DP47" s="46"/>
      <c r="DQ47" s="46"/>
      <c r="DR47" s="46"/>
      <c r="DS47" s="46"/>
      <c r="DT47" s="46"/>
      <c r="DU47" s="46"/>
      <c r="DV47" s="46"/>
      <c r="DW47" s="46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77"/>
      <c r="EJ47" s="77"/>
      <c r="EK47" s="78"/>
      <c r="EL47" s="7"/>
      <c r="EM47" s="7"/>
      <c r="EN47" s="7"/>
      <c r="EO47" s="7"/>
      <c r="EP47" s="2"/>
      <c r="EQ47" s="2"/>
      <c r="ER47" s="2"/>
      <c r="ES47" s="2"/>
      <c r="ET47" s="2"/>
      <c r="EU47" s="2"/>
      <c r="EV47" s="2"/>
      <c r="EW47" s="2"/>
      <c r="EX47" s="2"/>
      <c r="EY47" s="6"/>
      <c r="EZ47" s="31"/>
      <c r="FA47" s="2"/>
      <c r="FB47" s="2"/>
      <c r="FC47" s="31"/>
      <c r="FD47" s="31"/>
      <c r="FE47" s="395" t="s">
        <v>17</v>
      </c>
      <c r="FF47" s="396"/>
      <c r="FI47" s="7"/>
      <c r="FJ47" s="7"/>
      <c r="FK47" s="7"/>
      <c r="FL47" s="7"/>
      <c r="FM47" s="7"/>
      <c r="FN47" s="7"/>
      <c r="FO47" s="7"/>
      <c r="FP47" s="7"/>
      <c r="FQ47" s="6"/>
      <c r="FR47" s="6"/>
      <c r="FS47" s="35"/>
      <c r="FT47" s="2"/>
      <c r="FX47" s="2"/>
      <c r="FY47" s="2"/>
      <c r="FZ47" s="2"/>
      <c r="GA47" s="2"/>
      <c r="GB47" s="2"/>
      <c r="GC47" s="2"/>
      <c r="GD47" s="409" t="s">
        <v>38</v>
      </c>
      <c r="GE47" s="410"/>
      <c r="GF47" s="2"/>
      <c r="GG47" s="2"/>
      <c r="GH47" s="2"/>
      <c r="GI47" s="2"/>
      <c r="GJ47" s="2"/>
      <c r="GK47" s="5"/>
      <c r="GL47" s="5"/>
      <c r="GM47" s="5"/>
      <c r="GN47" s="5"/>
      <c r="GP47" s="36"/>
      <c r="GQ47" s="5"/>
      <c r="GR47" s="5"/>
      <c r="GS47" s="5"/>
      <c r="GT47" s="5"/>
      <c r="GU47" s="2"/>
      <c r="GV47" s="7"/>
      <c r="GW47" s="7"/>
      <c r="GX47" s="7"/>
      <c r="GY47" s="2"/>
      <c r="GZ47" s="2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7"/>
      <c r="IQ47" s="7"/>
      <c r="IR47" s="2"/>
      <c r="IS47" s="2"/>
      <c r="IT47" s="395" t="s">
        <v>69</v>
      </c>
      <c r="IU47" s="396"/>
      <c r="IV47" s="7"/>
      <c r="IW47" s="7"/>
      <c r="IX47" s="7"/>
      <c r="IY47" s="7"/>
      <c r="IZ47" s="7"/>
      <c r="JA47" s="7"/>
      <c r="JB47" s="2"/>
      <c r="JC47" s="2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KG47" s="62"/>
      <c r="KH47" s="62"/>
      <c r="KI47" s="62"/>
      <c r="KJ47" s="62"/>
      <c r="KK47" s="391" t="s">
        <v>70</v>
      </c>
      <c r="KL47" s="392"/>
      <c r="KM47" s="62"/>
      <c r="KN47" s="25"/>
      <c r="KO47" s="62"/>
      <c r="KP47" s="38"/>
      <c r="KR47" s="38"/>
      <c r="KS47" s="7"/>
      <c r="KT47" s="7"/>
      <c r="KU47" s="7"/>
      <c r="KV47" s="391" t="s">
        <v>71</v>
      </c>
      <c r="KW47" s="392"/>
      <c r="KX47" s="38"/>
      <c r="KY47" s="7"/>
      <c r="KZ47" s="38"/>
      <c r="LA47" s="38"/>
      <c r="LB47" s="7"/>
      <c r="LC47" s="7"/>
      <c r="LD47" s="391" t="s">
        <v>72</v>
      </c>
      <c r="LE47" s="392"/>
      <c r="LF47" s="7"/>
      <c r="LG47" s="7"/>
      <c r="LI47" s="7"/>
      <c r="LJ47" s="7"/>
      <c r="LK47" s="389" t="s">
        <v>73</v>
      </c>
      <c r="LL47" s="390"/>
      <c r="LM47" s="7"/>
      <c r="LP47" s="7"/>
      <c r="LQ47" s="7"/>
      <c r="LR47" s="9"/>
      <c r="LS47" s="7"/>
      <c r="LT47" s="38"/>
      <c r="LU47" s="38"/>
      <c r="LV47" s="52"/>
      <c r="LX47" s="5"/>
      <c r="LY47" s="5"/>
      <c r="LZ47" s="389" t="s">
        <v>74</v>
      </c>
      <c r="MA47" s="390"/>
      <c r="MB47" s="5"/>
      <c r="MC47" s="5"/>
      <c r="ME47" s="7"/>
      <c r="MF47" s="7"/>
      <c r="MG47" s="389" t="s">
        <v>75</v>
      </c>
      <c r="MH47" s="390"/>
      <c r="MI47" s="7"/>
      <c r="MJ47" s="7"/>
      <c r="ML47" s="397" t="s">
        <v>76</v>
      </c>
      <c r="MM47" s="398"/>
      <c r="MN47" s="2"/>
      <c r="MO47" s="399" t="s">
        <v>77</v>
      </c>
      <c r="MP47" s="400"/>
      <c r="MQ47" s="2"/>
      <c r="MR47" s="432" t="s">
        <v>78</v>
      </c>
      <c r="MS47" s="433"/>
    </row>
    <row r="48" spans="3:357" ht="17.25" customHeight="1">
      <c r="C48" s="436" t="s">
        <v>79</v>
      </c>
      <c r="D48" s="437"/>
      <c r="E48" s="5"/>
      <c r="F48" s="35"/>
      <c r="G48" s="35"/>
      <c r="H48" s="35"/>
      <c r="I48" s="35"/>
      <c r="J48" s="35"/>
      <c r="K48" s="438" t="s">
        <v>80</v>
      </c>
      <c r="L48" s="439"/>
      <c r="M48" s="35"/>
      <c r="O48" s="85"/>
      <c r="P48" s="85"/>
      <c r="Q48" s="85"/>
      <c r="R48" s="369" t="s">
        <v>81</v>
      </c>
      <c r="S48" s="370"/>
      <c r="T48" s="85"/>
      <c r="U48" s="336"/>
      <c r="V48" s="336"/>
      <c r="W48" s="336"/>
      <c r="X48" s="336"/>
      <c r="Y48" s="336"/>
      <c r="AA48" s="71"/>
      <c r="AB48" s="71"/>
      <c r="AC48" s="67"/>
      <c r="AD48" s="71"/>
      <c r="AE48" s="29"/>
      <c r="AF48" s="7"/>
      <c r="AG48" s="7"/>
      <c r="AH48" s="38"/>
      <c r="AI48" s="38"/>
      <c r="AJ48" s="38"/>
      <c r="AK48" s="39"/>
      <c r="AL48" s="7"/>
      <c r="AM48" s="12"/>
      <c r="AN48" s="442"/>
      <c r="AO48" s="442"/>
      <c r="AP48" s="63"/>
      <c r="AQ48" s="63"/>
      <c r="AR48" s="7"/>
      <c r="AS48" s="7"/>
      <c r="AT48" s="7"/>
      <c r="AU48" s="7"/>
      <c r="AV48" s="7"/>
      <c r="AW48" s="88"/>
      <c r="AX48" s="88"/>
      <c r="AY48" s="88"/>
      <c r="AZ48" s="88"/>
      <c r="BA48" s="88"/>
      <c r="BB48" s="88"/>
      <c r="BC48" s="7"/>
      <c r="BD48" s="7"/>
      <c r="BF48" s="7"/>
      <c r="BG48" s="7"/>
      <c r="BH48" s="68"/>
      <c r="BI48" s="68"/>
      <c r="BJ48" s="68"/>
      <c r="BK48" s="68"/>
      <c r="BL48" s="68"/>
      <c r="BM48" s="68"/>
      <c r="BN48" s="46"/>
      <c r="BO48" s="46"/>
      <c r="BP48" s="46"/>
      <c r="BQ48" s="46"/>
      <c r="BR48" s="46"/>
      <c r="BS48" s="46"/>
      <c r="BT48" s="46"/>
      <c r="BU48" s="46"/>
      <c r="BV48" s="46"/>
      <c r="BW48" s="46"/>
      <c r="BX48" s="46"/>
      <c r="BY48" s="46"/>
      <c r="BZ48" s="2"/>
      <c r="CA48" s="2"/>
      <c r="CB48" s="2"/>
      <c r="CC48" s="2"/>
      <c r="CD48" s="46"/>
      <c r="CE48" s="46"/>
      <c r="CF48" s="46"/>
      <c r="CG48" s="46"/>
      <c r="CH48" s="46"/>
      <c r="CI48" s="46"/>
      <c r="CJ48" s="46"/>
      <c r="CK48" s="46"/>
      <c r="CL48" s="46"/>
      <c r="CM48" s="46"/>
      <c r="CN48" s="46"/>
      <c r="CO48" s="46"/>
      <c r="CP48" s="46"/>
      <c r="CQ48" s="46"/>
      <c r="CR48" s="46"/>
      <c r="CS48" s="46"/>
      <c r="CT48" s="46"/>
      <c r="CU48" s="46"/>
      <c r="CV48" s="7"/>
      <c r="CW48" s="7"/>
      <c r="CX48" s="7"/>
      <c r="CY48" s="2"/>
      <c r="CZ48" s="359" t="s">
        <v>82</v>
      </c>
      <c r="DA48" s="360"/>
      <c r="DB48" s="47"/>
      <c r="DC48" s="46"/>
      <c r="DD48" s="46"/>
      <c r="DE48" s="46"/>
      <c r="DF48" s="46"/>
      <c r="DG48" s="46"/>
      <c r="DH48" s="46"/>
      <c r="DI48" s="46"/>
      <c r="DJ48" s="46"/>
      <c r="DK48" s="46"/>
      <c r="DL48" s="46"/>
      <c r="DM48" s="46"/>
      <c r="DN48" s="46"/>
      <c r="DO48" s="46"/>
      <c r="DP48" s="46"/>
      <c r="DQ48" s="46"/>
      <c r="DR48" s="46"/>
      <c r="DS48" s="46"/>
      <c r="DT48" s="46"/>
      <c r="DU48" s="46"/>
      <c r="DV48" s="46"/>
      <c r="DW48" s="46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77"/>
      <c r="EJ48" s="77"/>
      <c r="EK48" s="78"/>
      <c r="EL48" s="7"/>
      <c r="EM48" s="7"/>
      <c r="EN48" s="7"/>
      <c r="EO48" s="7"/>
      <c r="EP48" s="2"/>
      <c r="EQ48" s="2"/>
      <c r="ER48" s="2"/>
      <c r="ES48" s="2"/>
      <c r="ET48" s="2"/>
      <c r="EU48" s="2"/>
      <c r="EV48" s="2"/>
      <c r="EW48" s="2"/>
      <c r="EX48" s="2"/>
      <c r="EY48" s="6"/>
      <c r="EZ48" s="31"/>
      <c r="FA48" s="2"/>
      <c r="FB48" s="2"/>
      <c r="FC48" s="31"/>
      <c r="FD48" s="31"/>
      <c r="FE48" s="359" t="s">
        <v>83</v>
      </c>
      <c r="FF48" s="360"/>
      <c r="FI48" s="7"/>
      <c r="FJ48" s="7"/>
      <c r="FK48" s="7"/>
      <c r="FL48" s="7"/>
      <c r="FM48" s="7"/>
      <c r="FN48" s="7"/>
      <c r="FO48" s="7"/>
      <c r="FP48" s="7"/>
      <c r="FQ48" s="6"/>
      <c r="FR48" s="6"/>
      <c r="FS48" s="35"/>
      <c r="FT48" s="2"/>
      <c r="FX48" s="2"/>
      <c r="FY48" s="2"/>
      <c r="FZ48" s="2"/>
      <c r="GA48" s="2"/>
      <c r="GB48" s="2"/>
      <c r="GC48" s="2"/>
      <c r="GD48" s="359" t="s">
        <v>84</v>
      </c>
      <c r="GE48" s="360"/>
      <c r="GF48" s="2"/>
      <c r="GG48" s="2"/>
      <c r="GH48" s="2"/>
      <c r="GI48" s="2"/>
      <c r="GJ48" s="2"/>
      <c r="GK48" s="5"/>
      <c r="GL48" s="5"/>
      <c r="GM48" s="5"/>
      <c r="GN48" s="5"/>
      <c r="GO48" s="409" t="s">
        <v>61</v>
      </c>
      <c r="GP48" s="410"/>
      <c r="GQ48" s="5"/>
      <c r="GR48" s="5"/>
      <c r="GS48" s="5"/>
      <c r="GT48" s="5"/>
      <c r="GU48" s="2"/>
      <c r="GV48" s="7"/>
      <c r="GW48" s="7"/>
      <c r="GX48" s="7"/>
      <c r="GY48" s="2"/>
      <c r="GZ48" s="2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R48" s="7"/>
      <c r="HS48" s="7"/>
      <c r="HT48" s="7"/>
      <c r="HU48" s="7"/>
      <c r="HV48" s="7"/>
      <c r="HW48" s="7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7"/>
      <c r="IQ48" s="20"/>
      <c r="IR48" s="20"/>
      <c r="IS48" s="20"/>
      <c r="IT48" s="353" t="s">
        <v>85</v>
      </c>
      <c r="IU48" s="354"/>
      <c r="IV48" s="7"/>
      <c r="IW48" s="7"/>
      <c r="IX48" s="7"/>
      <c r="IY48" s="7"/>
      <c r="IZ48" s="7"/>
      <c r="JA48" s="7"/>
      <c r="JB48" s="2"/>
      <c r="JC48" s="2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20"/>
      <c r="JP48" s="7"/>
      <c r="JQ48" s="7"/>
      <c r="JR48" s="7"/>
      <c r="JS48" s="7"/>
      <c r="JT48" s="7"/>
      <c r="JU48" s="7"/>
      <c r="JV48" s="7"/>
      <c r="KG48" s="62"/>
      <c r="KH48" s="62"/>
      <c r="KI48" s="62"/>
      <c r="KJ48" s="62"/>
      <c r="KK48" s="393" t="s">
        <v>86</v>
      </c>
      <c r="KL48" s="394"/>
      <c r="KM48" s="62"/>
      <c r="KN48" s="62"/>
      <c r="KO48" s="62"/>
      <c r="KP48" s="38"/>
      <c r="KR48" s="38"/>
      <c r="KS48" s="7"/>
      <c r="KT48" s="7"/>
      <c r="KU48" s="7"/>
      <c r="KV48" s="429" t="s">
        <v>87</v>
      </c>
      <c r="KW48" s="430"/>
      <c r="KX48" s="90"/>
      <c r="KY48" s="7"/>
      <c r="LA48" s="7"/>
      <c r="LB48" s="7"/>
      <c r="LC48" s="7"/>
      <c r="LD48" s="383" t="s">
        <v>88</v>
      </c>
      <c r="LE48" s="384"/>
      <c r="LF48" s="7"/>
      <c r="LG48" s="7"/>
      <c r="LI48" s="7"/>
      <c r="LJ48" s="7"/>
      <c r="LK48" s="379" t="s">
        <v>89</v>
      </c>
      <c r="LL48" s="431"/>
      <c r="LM48" s="7"/>
      <c r="LP48" s="7"/>
      <c r="LQ48" s="7"/>
      <c r="LR48" s="9"/>
      <c r="LS48" s="7"/>
      <c r="LT48" s="38"/>
      <c r="LU48" s="38"/>
      <c r="LV48" s="52"/>
      <c r="LX48" s="5"/>
      <c r="LY48" s="5"/>
      <c r="LZ48" s="349" t="s">
        <v>90</v>
      </c>
      <c r="MA48" s="350"/>
      <c r="MB48" s="5"/>
      <c r="MC48" s="5"/>
      <c r="ME48" s="7"/>
      <c r="MF48" s="7"/>
      <c r="MG48" s="349" t="s">
        <v>91</v>
      </c>
      <c r="MH48" s="350"/>
      <c r="MI48" s="7"/>
      <c r="MJ48" s="7"/>
      <c r="ML48" s="351" t="s">
        <v>92</v>
      </c>
      <c r="MM48" s="352"/>
      <c r="MN48" s="2"/>
      <c r="MO48" s="383" t="s">
        <v>93</v>
      </c>
      <c r="MP48" s="384"/>
      <c r="MQ48" s="2"/>
      <c r="MR48" s="434"/>
      <c r="MS48" s="435"/>
    </row>
    <row r="49" spans="2:357" ht="17.25" customHeight="1">
      <c r="D49" s="91">
        <v>1</v>
      </c>
      <c r="F49" s="35"/>
      <c r="G49" s="35"/>
      <c r="H49" s="35"/>
      <c r="I49" s="35"/>
      <c r="J49" s="35"/>
      <c r="K49" s="35"/>
      <c r="L49" s="45">
        <f>L59</f>
        <v>2</v>
      </c>
      <c r="M49" s="35"/>
      <c r="O49" s="85"/>
      <c r="P49" s="85"/>
      <c r="Q49" s="85"/>
      <c r="R49" s="85"/>
      <c r="S49" s="45">
        <f>P59+S59+V59+1</f>
        <v>7</v>
      </c>
      <c r="T49" s="85"/>
      <c r="U49" s="336"/>
      <c r="V49" s="336"/>
      <c r="W49" s="336"/>
      <c r="X49" s="336"/>
      <c r="Y49" s="336"/>
      <c r="AA49" s="71"/>
      <c r="AB49" s="71"/>
      <c r="AC49" s="67"/>
      <c r="AD49" s="71"/>
      <c r="AE49" s="29"/>
      <c r="AF49" s="7"/>
      <c r="AG49" s="7"/>
      <c r="AH49" s="7"/>
      <c r="AI49" s="7"/>
      <c r="AJ49" s="92"/>
      <c r="AK49" s="39"/>
      <c r="AL49" s="93"/>
      <c r="AM49" s="71"/>
      <c r="AN49" s="71"/>
      <c r="AO49" s="71"/>
      <c r="AP49" s="71"/>
      <c r="AQ49" s="71"/>
      <c r="AR49" s="71"/>
      <c r="AS49" s="88"/>
      <c r="AT49" s="88"/>
      <c r="AU49" s="7"/>
      <c r="AV49" s="7"/>
      <c r="AW49" s="88"/>
      <c r="AX49" s="88"/>
      <c r="AY49" s="88"/>
      <c r="AZ49" s="88"/>
      <c r="BA49" s="88"/>
      <c r="BB49" s="88"/>
      <c r="BC49" s="7"/>
      <c r="BD49" s="7"/>
      <c r="BF49" s="7"/>
      <c r="BG49" s="7"/>
      <c r="BH49" s="7"/>
      <c r="BI49" s="68"/>
      <c r="BJ49" s="68"/>
      <c r="BK49" s="68"/>
      <c r="BL49" s="68"/>
      <c r="BM49" s="68"/>
      <c r="BN49" s="46"/>
      <c r="BO49" s="46"/>
      <c r="BP49" s="46"/>
      <c r="BQ49" s="46"/>
      <c r="BR49" s="46"/>
      <c r="BS49" s="46"/>
      <c r="BT49" s="46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46"/>
      <c r="CU49" s="46"/>
      <c r="CV49" s="7"/>
      <c r="CW49" s="7"/>
      <c r="CX49" s="7"/>
      <c r="CY49" s="7"/>
      <c r="CZ49" s="2"/>
      <c r="DA49" s="43">
        <f>BN54+CH54+DA54+DQ54+EM54</f>
        <v>128</v>
      </c>
      <c r="DB49" s="46"/>
      <c r="DC49" s="46"/>
      <c r="DD49" s="46"/>
      <c r="DE49" s="46"/>
      <c r="DF49" s="46"/>
      <c r="DG49" s="46"/>
      <c r="DH49" s="46"/>
      <c r="DI49" s="46"/>
      <c r="DJ49" s="46"/>
      <c r="DK49" s="46"/>
      <c r="DL49" s="46"/>
      <c r="DM49" s="46"/>
      <c r="DN49" s="46"/>
      <c r="DO49" s="46"/>
      <c r="DP49" s="46"/>
      <c r="DQ49" s="46"/>
      <c r="DR49" s="46"/>
      <c r="DS49" s="46"/>
      <c r="DT49" s="46"/>
      <c r="DU49" s="46"/>
      <c r="DV49" s="46"/>
      <c r="DW49" s="46"/>
      <c r="DX49" s="46"/>
      <c r="DY49" s="46"/>
      <c r="DZ49" s="46"/>
      <c r="EA49" s="46"/>
      <c r="EB49" s="46"/>
      <c r="EC49" s="46"/>
      <c r="ED49" s="46"/>
      <c r="EE49" s="46"/>
      <c r="EF49" s="46"/>
      <c r="EG49" s="46"/>
      <c r="EH49" s="46"/>
      <c r="EI49" s="77"/>
      <c r="EJ49" s="77"/>
      <c r="EK49" s="94"/>
      <c r="EL49" s="7"/>
      <c r="EM49" s="7"/>
      <c r="EN49" s="7"/>
      <c r="EO49" s="7"/>
      <c r="EP49" s="2"/>
      <c r="EQ49" s="2"/>
      <c r="ER49" s="2"/>
      <c r="ES49" s="2"/>
      <c r="ET49" s="2"/>
      <c r="EU49" s="2"/>
      <c r="EV49" s="2"/>
      <c r="EW49" s="2"/>
      <c r="EX49" s="2"/>
      <c r="EY49" s="6"/>
      <c r="EZ49" s="31"/>
      <c r="FA49" s="31"/>
      <c r="FB49" s="31"/>
      <c r="FC49" s="31"/>
      <c r="FD49" s="31"/>
      <c r="FE49" s="2"/>
      <c r="FF49" s="45">
        <f>FB54+FM54</f>
        <v>34</v>
      </c>
      <c r="FI49" s="7"/>
      <c r="FJ49" s="7"/>
      <c r="FK49" s="7"/>
      <c r="FL49" s="7"/>
      <c r="FM49" s="7"/>
      <c r="FN49" s="7"/>
      <c r="FO49" s="7"/>
      <c r="FP49" s="7"/>
      <c r="FQ49" s="6"/>
      <c r="FR49" s="6"/>
      <c r="FS49" s="35"/>
      <c r="FT49" s="2"/>
      <c r="FX49" s="2"/>
      <c r="FY49" s="2"/>
      <c r="FZ49" s="2"/>
      <c r="GA49" s="2"/>
      <c r="GB49" s="2"/>
      <c r="GC49" s="2"/>
      <c r="GD49" s="2"/>
      <c r="GE49" s="43">
        <f>GE54</f>
        <v>19</v>
      </c>
      <c r="GF49" s="2"/>
      <c r="GG49" s="2"/>
      <c r="GI49" s="11"/>
      <c r="GJ49" s="2"/>
      <c r="GK49" s="5"/>
      <c r="GL49" s="5"/>
      <c r="GM49" s="5"/>
      <c r="GN49" s="5"/>
      <c r="GO49" s="423" t="s">
        <v>94</v>
      </c>
      <c r="GP49" s="424"/>
      <c r="GQ49" s="5"/>
      <c r="GR49" s="5"/>
      <c r="GS49" s="5"/>
      <c r="GT49" s="5"/>
      <c r="GU49" s="2"/>
      <c r="GV49" s="7"/>
      <c r="GW49" s="7"/>
      <c r="GX49" s="7"/>
      <c r="GY49" s="2"/>
      <c r="GZ49" s="2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7"/>
      <c r="IQ49" s="7"/>
      <c r="IR49" s="7"/>
      <c r="IS49" s="7"/>
      <c r="IT49" s="7"/>
      <c r="IU49" s="95">
        <f>HD59+HO59+HX59+II59+JA59+JO59+KA59+KE59+1</f>
        <v>147</v>
      </c>
      <c r="IV49" s="7"/>
      <c r="IW49" s="7"/>
      <c r="IX49" s="7"/>
      <c r="IY49" s="7"/>
      <c r="IZ49" s="7"/>
      <c r="JC49" s="2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KG49" s="62"/>
      <c r="KH49" s="62"/>
      <c r="KI49" s="62"/>
      <c r="KJ49" s="96"/>
      <c r="KK49" s="62"/>
      <c r="KL49" s="44">
        <f>KL59+KO59+KI59+1</f>
        <v>20</v>
      </c>
      <c r="KM49" s="25"/>
      <c r="KN49" s="25"/>
      <c r="KO49" s="62"/>
      <c r="KP49" s="38"/>
      <c r="KR49" s="38"/>
      <c r="KS49" s="7"/>
      <c r="KT49" s="7"/>
      <c r="KU49" s="7"/>
      <c r="KV49" s="7"/>
      <c r="KW49" s="44">
        <f>KT59+KW59+KZ59+1</f>
        <v>8</v>
      </c>
      <c r="KX49" s="25"/>
      <c r="KY49" s="7"/>
      <c r="LA49" s="7"/>
      <c r="LB49" s="7"/>
      <c r="LC49" s="7"/>
      <c r="LD49" s="7"/>
      <c r="LE49" s="44">
        <f>LC59+LG59</f>
        <v>8</v>
      </c>
      <c r="LF49" s="7"/>
      <c r="LG49" s="7"/>
      <c r="LI49" s="7"/>
      <c r="LJ49" s="7"/>
      <c r="LK49" s="38"/>
      <c r="LL49" s="12"/>
      <c r="LM49" s="62"/>
      <c r="LP49" s="7"/>
      <c r="LQ49" s="97"/>
      <c r="LR49" s="98"/>
      <c r="LS49" s="7"/>
      <c r="LT49" s="38"/>
      <c r="LU49" s="38"/>
      <c r="LV49" s="52"/>
      <c r="LX49" s="5"/>
      <c r="LY49" s="5"/>
      <c r="LZ49" s="7"/>
      <c r="MA49" s="44">
        <f>LY59+MC59+1</f>
        <v>8</v>
      </c>
      <c r="MB49" s="5"/>
      <c r="MC49" s="5"/>
      <c r="ME49" s="7"/>
      <c r="MF49" s="7"/>
      <c r="MG49" s="7"/>
      <c r="MH49" s="99">
        <f>MF59+MJ59+1</f>
        <v>7</v>
      </c>
      <c r="MI49" s="7"/>
      <c r="MJ49" s="7"/>
      <c r="ML49" s="7"/>
      <c r="MM49" s="3">
        <v>2</v>
      </c>
      <c r="MN49" s="2"/>
      <c r="MO49" s="7"/>
      <c r="MP49" s="48">
        <v>2</v>
      </c>
      <c r="MQ49" s="2"/>
      <c r="MR49" s="74"/>
      <c r="MS49" s="100">
        <v>1</v>
      </c>
    </row>
    <row r="50" spans="2:357" ht="17.25" customHeight="1">
      <c r="D50" s="101">
        <v>1</v>
      </c>
      <c r="F50" s="35"/>
      <c r="G50" s="35"/>
      <c r="H50" s="35"/>
      <c r="I50" s="35"/>
      <c r="J50" s="35"/>
      <c r="K50" s="35"/>
      <c r="L50" s="296">
        <f>L60</f>
        <v>2</v>
      </c>
      <c r="M50" s="35"/>
      <c r="O50" s="7"/>
      <c r="P50" s="7"/>
      <c r="Q50" s="7"/>
      <c r="R50" s="85"/>
      <c r="S50" s="296">
        <f>P60+S60+V60+1</f>
        <v>7</v>
      </c>
      <c r="T50" s="7"/>
      <c r="U50" s="7"/>
      <c r="V50" s="7"/>
      <c r="W50" s="7"/>
      <c r="X50" s="7"/>
      <c r="Y50" s="7"/>
      <c r="AA50" s="71"/>
      <c r="AB50" s="71"/>
      <c r="AC50" s="67"/>
      <c r="AD50" s="102"/>
      <c r="AE50" s="103"/>
      <c r="AF50" s="13"/>
      <c r="AG50" s="13"/>
      <c r="AH50" s="13"/>
      <c r="AI50" s="13"/>
      <c r="AJ50" s="104"/>
      <c r="AK50" s="105"/>
      <c r="AL50" s="105"/>
      <c r="AM50" s="102"/>
      <c r="AN50" s="105"/>
      <c r="AO50" s="105"/>
      <c r="AP50" s="105"/>
      <c r="AQ50" s="105"/>
      <c r="AR50" s="105"/>
      <c r="AS50" s="106"/>
      <c r="AT50" s="106"/>
      <c r="AU50" s="73"/>
      <c r="AV50" s="13"/>
      <c r="AW50" s="18"/>
      <c r="AX50" s="88"/>
      <c r="AY50" s="38"/>
      <c r="AZ50" s="88"/>
      <c r="BA50" s="88"/>
      <c r="BB50" s="88"/>
      <c r="BC50" s="88"/>
      <c r="BD50" s="88"/>
      <c r="BF50" s="7"/>
      <c r="BG50" s="7"/>
      <c r="BH50" s="7"/>
      <c r="BI50" s="68"/>
      <c r="BJ50" s="35"/>
      <c r="BK50" s="35"/>
      <c r="BL50" s="68"/>
      <c r="BM50" s="68"/>
      <c r="BN50" s="68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7"/>
      <c r="CE50" s="7"/>
      <c r="CF50" s="7"/>
      <c r="CG50" s="7"/>
      <c r="CH50" s="7"/>
      <c r="CI50" s="7"/>
      <c r="CJ50" s="7"/>
      <c r="CK50" s="46"/>
      <c r="CL50" s="46"/>
      <c r="CM50" s="46"/>
      <c r="CN50" s="46"/>
      <c r="CO50" s="46"/>
      <c r="CP50" s="46"/>
      <c r="CQ50" s="46"/>
      <c r="CR50" s="46"/>
      <c r="CS50" s="46"/>
      <c r="CT50" s="46"/>
      <c r="CU50" s="46"/>
      <c r="CV50" s="7"/>
      <c r="CW50" s="7"/>
      <c r="CX50" s="7"/>
      <c r="CY50" s="7"/>
      <c r="CZ50" s="46"/>
      <c r="DA50" s="300">
        <f>BN55+CH55+DA55+DQ55+EM55</f>
        <v>178</v>
      </c>
      <c r="DB50" s="46"/>
      <c r="DC50" s="46"/>
      <c r="DD50" s="46"/>
      <c r="DE50" s="7"/>
      <c r="DF50" s="7"/>
      <c r="DG50" s="7"/>
      <c r="DH50" s="46"/>
      <c r="DI50" s="46"/>
      <c r="DJ50" s="46"/>
      <c r="DK50" s="46"/>
      <c r="DL50" s="46"/>
      <c r="DM50" s="46"/>
      <c r="DN50" s="46"/>
      <c r="DO50" s="46"/>
      <c r="DP50" s="46"/>
      <c r="DQ50" s="46"/>
      <c r="DR50" s="46"/>
      <c r="DS50" s="46"/>
      <c r="DT50" s="46"/>
      <c r="DU50" s="46"/>
      <c r="DV50" s="46"/>
      <c r="DW50" s="7"/>
      <c r="DX50" s="46"/>
      <c r="DY50" s="46"/>
      <c r="DZ50" s="46"/>
      <c r="EA50" s="7"/>
      <c r="EB50" s="46"/>
      <c r="EC50" s="46"/>
      <c r="ED50" s="46"/>
      <c r="EE50" s="46"/>
      <c r="EF50" s="46"/>
      <c r="EG50" s="46"/>
      <c r="EH50" s="94"/>
      <c r="EI50" s="94"/>
      <c r="EJ50" s="94"/>
      <c r="EK50" s="46"/>
      <c r="EL50" s="46"/>
      <c r="EM50" s="7"/>
      <c r="EN50" s="7"/>
      <c r="EO50" s="7"/>
      <c r="EP50" s="2"/>
      <c r="EQ50" s="2"/>
      <c r="ER50" s="2"/>
      <c r="ES50" s="2"/>
      <c r="ET50" s="2"/>
      <c r="EU50" s="2"/>
      <c r="EV50" s="2"/>
      <c r="EW50" s="2"/>
      <c r="EX50" s="2"/>
      <c r="EY50" s="6"/>
      <c r="EZ50" s="31"/>
      <c r="FA50" s="31"/>
      <c r="FB50" s="31"/>
      <c r="FC50" s="31"/>
      <c r="FD50" s="31"/>
      <c r="FE50" s="7"/>
      <c r="FF50" s="301">
        <f>FB55+FM55</f>
        <v>43</v>
      </c>
      <c r="FI50" s="7"/>
      <c r="FJ50" s="7"/>
      <c r="FK50" s="7"/>
      <c r="FL50" s="2"/>
      <c r="FM50" s="2"/>
      <c r="FN50" s="7"/>
      <c r="FO50" s="7"/>
      <c r="FP50" s="7"/>
      <c r="FQ50" s="6"/>
      <c r="FR50" s="6"/>
      <c r="FS50" s="35"/>
      <c r="FT50" s="2"/>
      <c r="FX50" s="2"/>
      <c r="FY50" s="2"/>
      <c r="FZ50" s="2"/>
      <c r="GA50" s="2"/>
      <c r="GB50" s="2"/>
      <c r="GC50" s="2"/>
      <c r="GD50" s="2"/>
      <c r="GE50" s="297">
        <f>GE55</f>
        <v>25</v>
      </c>
      <c r="GG50" s="108" t="s">
        <v>95</v>
      </c>
      <c r="GI50" s="11"/>
      <c r="GJ50" s="2"/>
      <c r="GK50" s="109"/>
      <c r="GL50" s="7"/>
      <c r="GM50" s="7"/>
      <c r="GN50" s="5"/>
      <c r="GP50" s="43">
        <f>GM59+GR59+1</f>
        <v>11</v>
      </c>
      <c r="GQ50" s="7"/>
      <c r="GR50" s="7"/>
      <c r="GS50" s="7"/>
      <c r="GT50" s="7"/>
      <c r="GU50" s="2"/>
      <c r="GV50" s="7"/>
      <c r="GW50" s="7"/>
      <c r="GX50" s="7"/>
      <c r="GY50" s="2"/>
      <c r="GZ50" s="2"/>
      <c r="HA50" s="2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7"/>
      <c r="IQ50" s="2"/>
      <c r="IR50" s="2"/>
      <c r="IS50" s="2"/>
      <c r="IT50" s="7"/>
      <c r="IU50" s="298">
        <f>HD60+HX60+HO60+IH89+JA60+II60+JO60+KA60+KE60+1</f>
        <v>147</v>
      </c>
      <c r="IV50" s="2"/>
      <c r="IW50" s="2"/>
      <c r="IX50" s="2"/>
      <c r="IY50" s="7"/>
      <c r="IZ50" s="7"/>
      <c r="JA50" s="7"/>
      <c r="JB50" s="2"/>
      <c r="JC50" s="2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KG50" s="62"/>
      <c r="KH50" s="62"/>
      <c r="KI50" s="62"/>
      <c r="KJ50" s="96"/>
      <c r="KK50" s="110"/>
      <c r="KL50" s="306">
        <f>KL60+KO60+KI60+1</f>
        <v>20</v>
      </c>
      <c r="KM50" s="25"/>
      <c r="KN50" s="111"/>
      <c r="KO50" s="62"/>
      <c r="KP50" s="38"/>
      <c r="KR50" s="38"/>
      <c r="KS50" s="7"/>
      <c r="KT50" s="7"/>
      <c r="KU50" s="7"/>
      <c r="KV50" s="7"/>
      <c r="KW50" s="305">
        <f>KT60+KW60+KZ60+1</f>
        <v>8</v>
      </c>
      <c r="KX50" s="25"/>
      <c r="KY50" s="7"/>
      <c r="KZ50" s="7"/>
      <c r="LA50" s="7"/>
      <c r="LB50" s="7"/>
      <c r="LC50" s="7"/>
      <c r="LD50" s="7"/>
      <c r="LE50" s="305">
        <f>LC60+LG60</f>
        <v>8</v>
      </c>
      <c r="LF50" s="7"/>
      <c r="LG50" s="7"/>
      <c r="LI50" s="7"/>
      <c r="LJ50" s="7"/>
      <c r="LK50" s="7"/>
      <c r="LL50" s="112"/>
      <c r="LM50" s="7"/>
      <c r="LP50" s="7"/>
      <c r="LQ50" s="7"/>
      <c r="LR50" s="9"/>
      <c r="LS50" s="7"/>
      <c r="LT50" s="38"/>
      <c r="LU50" s="38"/>
      <c r="LV50" s="52"/>
      <c r="LX50" s="5"/>
      <c r="LY50" s="5"/>
      <c r="LZ50" s="7"/>
      <c r="MA50" s="305">
        <f>LY60+MC60+1</f>
        <v>8</v>
      </c>
      <c r="MB50" s="5"/>
      <c r="MC50" s="5"/>
      <c r="ME50" s="7"/>
      <c r="MF50" s="7"/>
      <c r="MG50" s="7"/>
      <c r="MH50" s="305">
        <f>MF60+MJ60+1</f>
        <v>7</v>
      </c>
      <c r="MI50" s="7"/>
      <c r="MJ50" s="7"/>
      <c r="ML50" s="7"/>
      <c r="MM50" s="305">
        <v>2</v>
      </c>
      <c r="MN50" s="2"/>
      <c r="MO50" s="7"/>
      <c r="MP50" s="296">
        <v>2</v>
      </c>
      <c r="MQ50" s="2"/>
      <c r="MR50" s="25"/>
      <c r="MS50" s="305">
        <v>1</v>
      </c>
    </row>
    <row r="51" spans="2:357" ht="17.25" customHeight="1">
      <c r="D51" s="4"/>
      <c r="F51" s="35"/>
      <c r="G51" s="35"/>
      <c r="H51" s="35"/>
      <c r="I51" s="35"/>
      <c r="J51" s="35"/>
      <c r="K51" s="35"/>
      <c r="L51" s="113"/>
      <c r="M51" s="35"/>
      <c r="O51" s="7"/>
      <c r="P51" s="7"/>
      <c r="Q51" s="7"/>
      <c r="R51" s="85"/>
      <c r="S51" s="114"/>
      <c r="T51" s="7"/>
      <c r="U51" s="411" t="s">
        <v>96</v>
      </c>
      <c r="V51" s="411"/>
      <c r="W51" s="47"/>
      <c r="X51" s="7"/>
      <c r="Y51" s="7"/>
      <c r="AA51" s="71"/>
      <c r="AB51" s="71"/>
      <c r="AC51" s="67"/>
      <c r="AD51" s="115"/>
      <c r="AE51" s="29"/>
      <c r="AF51" s="7"/>
      <c r="AG51" s="7"/>
      <c r="AH51" s="7"/>
      <c r="AI51" s="7"/>
      <c r="AJ51" s="92"/>
      <c r="AK51" s="71"/>
      <c r="AL51" s="71"/>
      <c r="AM51" s="116"/>
      <c r="AN51" s="71"/>
      <c r="AO51" s="71"/>
      <c r="AP51" s="71"/>
      <c r="AQ51" s="71"/>
      <c r="AR51" s="71"/>
      <c r="AS51" s="88"/>
      <c r="AT51" s="88"/>
      <c r="AU51" s="38"/>
      <c r="AV51" s="7"/>
      <c r="AW51" s="19"/>
      <c r="AX51" s="88"/>
      <c r="AY51" s="38"/>
      <c r="AZ51" s="88"/>
      <c r="BA51" s="88"/>
      <c r="BB51" s="88"/>
      <c r="BC51" s="88"/>
      <c r="BD51" s="88"/>
      <c r="BF51" s="7"/>
      <c r="BG51" s="7"/>
      <c r="BH51" s="7"/>
      <c r="BI51" s="68"/>
      <c r="BJ51" s="35"/>
      <c r="BK51" s="35"/>
      <c r="BL51" s="46"/>
      <c r="BM51" s="7"/>
      <c r="BN51" s="12"/>
      <c r="BO51" s="117"/>
      <c r="BP51" s="117"/>
      <c r="BQ51" s="117"/>
      <c r="BR51" s="117"/>
      <c r="BS51" s="117"/>
      <c r="BT51" s="117"/>
      <c r="BU51" s="117"/>
      <c r="BV51" s="117"/>
      <c r="BW51" s="117"/>
      <c r="BX51" s="117"/>
      <c r="BY51" s="117"/>
      <c r="BZ51" s="117"/>
      <c r="CA51" s="117"/>
      <c r="CB51" s="117"/>
      <c r="CC51" s="117"/>
      <c r="CD51" s="13"/>
      <c r="CE51" s="13"/>
      <c r="CF51" s="13"/>
      <c r="CG51" s="13"/>
      <c r="CH51" s="118"/>
      <c r="CI51" s="13"/>
      <c r="CJ51" s="13"/>
      <c r="CK51" s="117"/>
      <c r="CL51" s="13"/>
      <c r="CM51" s="13"/>
      <c r="CN51" s="117"/>
      <c r="CO51" s="117"/>
      <c r="CP51" s="117"/>
      <c r="CQ51" s="117"/>
      <c r="CR51" s="117"/>
      <c r="CS51" s="117"/>
      <c r="CT51" s="117"/>
      <c r="CU51" s="119"/>
      <c r="CV51" s="119"/>
      <c r="CW51" s="119"/>
      <c r="CX51" s="119"/>
      <c r="CY51" s="117"/>
      <c r="CZ51" s="117"/>
      <c r="DA51" s="120"/>
      <c r="DB51" s="117"/>
      <c r="DC51" s="117"/>
      <c r="DD51" s="117"/>
      <c r="DE51" s="13"/>
      <c r="DF51" s="13"/>
      <c r="DG51" s="13"/>
      <c r="DH51" s="119"/>
      <c r="DI51" s="117"/>
      <c r="DJ51" s="119"/>
      <c r="DK51" s="119"/>
      <c r="DL51" s="119"/>
      <c r="DM51" s="119"/>
      <c r="DN51" s="119"/>
      <c r="DO51" s="119"/>
      <c r="DP51" s="41"/>
      <c r="DQ51" s="40"/>
      <c r="DR51" s="119"/>
      <c r="DS51" s="119"/>
      <c r="DT51" s="61"/>
      <c r="DU51" s="61"/>
      <c r="DV51" s="119"/>
      <c r="DW51" s="13"/>
      <c r="DX51" s="61"/>
      <c r="DY51" s="61"/>
      <c r="DZ51" s="119"/>
      <c r="EA51" s="13"/>
      <c r="EB51" s="119"/>
      <c r="EC51" s="119"/>
      <c r="ED51" s="119"/>
      <c r="EE51" s="119"/>
      <c r="EF51" s="119"/>
      <c r="EG51" s="119"/>
      <c r="EH51" s="61"/>
      <c r="EI51" s="61"/>
      <c r="EJ51" s="119"/>
      <c r="EK51" s="61"/>
      <c r="EL51" s="41"/>
      <c r="EM51" s="46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2"/>
      <c r="EZ51" s="2"/>
      <c r="FA51" s="2"/>
      <c r="FB51" s="121"/>
      <c r="FC51" s="61"/>
      <c r="FD51" s="61"/>
      <c r="FE51" s="61"/>
      <c r="FF51" s="61"/>
      <c r="FG51" s="61"/>
      <c r="FH51" s="61"/>
      <c r="FI51" s="61"/>
      <c r="FJ51" s="61"/>
      <c r="FK51" s="61"/>
      <c r="FL51" s="122"/>
      <c r="FM51" s="79"/>
      <c r="FN51" s="2"/>
      <c r="FO51" s="2"/>
      <c r="FP51" s="2"/>
      <c r="FQ51" s="2"/>
      <c r="FR51" s="2"/>
      <c r="FS51" s="2"/>
      <c r="FT51" s="2"/>
      <c r="FX51" s="2"/>
      <c r="FY51" s="2"/>
      <c r="FZ51" s="2"/>
      <c r="GA51" s="2"/>
      <c r="GB51" s="2"/>
      <c r="GC51" s="2"/>
      <c r="GD51" s="2"/>
      <c r="GE51" s="123"/>
      <c r="GF51" s="14"/>
      <c r="GG51" s="108" t="s">
        <v>97</v>
      </c>
      <c r="GH51" s="2"/>
      <c r="GI51" s="2"/>
      <c r="GJ51" s="2"/>
      <c r="GK51" s="109"/>
      <c r="GL51" s="7"/>
      <c r="GM51" s="7"/>
      <c r="GN51" s="5"/>
      <c r="GP51" s="296">
        <f>GM60+GR60+1</f>
        <v>11</v>
      </c>
      <c r="GQ51" s="7"/>
      <c r="GR51" s="7"/>
      <c r="GS51" s="7"/>
      <c r="GT51" s="7"/>
      <c r="GU51" s="2"/>
      <c r="GV51" s="6"/>
      <c r="GW51" s="7"/>
      <c r="GX51" s="7"/>
      <c r="GY51" s="2"/>
      <c r="GZ51" s="2"/>
      <c r="HA51" s="2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7"/>
      <c r="IQ51" s="425" t="s">
        <v>98</v>
      </c>
      <c r="IR51" s="425"/>
      <c r="IS51" s="425"/>
      <c r="IT51" s="19"/>
      <c r="IU51" s="9"/>
      <c r="IV51" s="382" t="s">
        <v>99</v>
      </c>
      <c r="IW51" s="427"/>
      <c r="IX51" s="427"/>
      <c r="IY51" s="7"/>
      <c r="IZ51" s="7"/>
      <c r="JA51" s="7"/>
      <c r="JB51" s="2"/>
      <c r="JC51" s="2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KG51" s="62"/>
      <c r="KH51" s="62"/>
      <c r="KI51" s="62"/>
      <c r="KJ51" s="62"/>
      <c r="KK51" s="110"/>
      <c r="KL51" s="125"/>
      <c r="KM51" s="25"/>
      <c r="KN51" s="111"/>
      <c r="KO51" s="62"/>
      <c r="KP51" s="38"/>
      <c r="KR51" s="38"/>
      <c r="KS51" s="7"/>
      <c r="KT51" s="7"/>
      <c r="KU51" s="7"/>
      <c r="KV51" s="7"/>
      <c r="KW51" s="126"/>
      <c r="KX51" s="7"/>
      <c r="KY51" s="7"/>
      <c r="KZ51" s="7"/>
      <c r="LA51" s="7"/>
      <c r="LB51" s="7"/>
      <c r="LC51" s="7"/>
      <c r="LD51" s="7"/>
      <c r="LE51" s="126"/>
      <c r="LF51" s="7"/>
      <c r="LG51" s="7"/>
      <c r="LI51" s="38"/>
      <c r="LJ51" s="38"/>
      <c r="LK51" s="38"/>
      <c r="LL51" s="112"/>
      <c r="LM51" s="7"/>
      <c r="LN51" s="7"/>
      <c r="LO51" s="7"/>
      <c r="LP51" s="7"/>
      <c r="LQ51" s="7"/>
      <c r="LR51" s="9"/>
      <c r="LS51" s="7"/>
      <c r="LT51" s="38"/>
      <c r="LU51" s="38"/>
      <c r="LV51" s="52"/>
      <c r="LX51" s="62"/>
      <c r="LY51" s="5"/>
      <c r="LZ51" s="5"/>
      <c r="MA51" s="127"/>
      <c r="MB51" s="5"/>
      <c r="MC51" s="5"/>
      <c r="ME51" s="7"/>
      <c r="MF51" s="7"/>
      <c r="MG51" s="7"/>
      <c r="MH51" s="9"/>
      <c r="MI51" s="7"/>
      <c r="MJ51" s="7"/>
      <c r="ML51" s="7"/>
      <c r="MM51" s="9"/>
      <c r="MN51" s="2"/>
      <c r="MO51" s="7"/>
      <c r="MP51" s="9"/>
      <c r="MQ51" s="2"/>
      <c r="MR51" s="25"/>
      <c r="MS51" s="128"/>
    </row>
    <row r="52" spans="2:357" ht="17.25" customHeight="1">
      <c r="D52" s="4"/>
      <c r="F52" s="7"/>
      <c r="G52" s="7"/>
      <c r="H52" s="7"/>
      <c r="I52" s="7"/>
      <c r="J52" s="47"/>
      <c r="K52" s="35"/>
      <c r="L52" s="113"/>
      <c r="M52" s="7"/>
      <c r="O52" s="7"/>
      <c r="P52" s="7"/>
      <c r="Q52" s="7"/>
      <c r="R52" s="85"/>
      <c r="S52" s="129"/>
      <c r="T52" s="13"/>
      <c r="U52" s="311" t="s">
        <v>100</v>
      </c>
      <c r="V52" s="311"/>
      <c r="W52" s="47"/>
      <c r="X52" s="7"/>
      <c r="Y52" s="7"/>
      <c r="AA52" s="71"/>
      <c r="AB52" s="71"/>
      <c r="AC52" s="401" t="s">
        <v>101</v>
      </c>
      <c r="AD52" s="402"/>
      <c r="AE52" s="29"/>
      <c r="AF52" s="7"/>
      <c r="AG52" s="7"/>
      <c r="AH52" s="7"/>
      <c r="AI52" s="7"/>
      <c r="AJ52" s="71"/>
      <c r="AK52" s="38"/>
      <c r="AL52" s="401" t="s">
        <v>102</v>
      </c>
      <c r="AM52" s="402"/>
      <c r="AN52" s="71"/>
      <c r="AO52" s="71"/>
      <c r="AP52" s="71"/>
      <c r="AQ52" s="71"/>
      <c r="AR52" s="71"/>
      <c r="AS52" s="71"/>
      <c r="AT52" s="71"/>
      <c r="AU52" s="38"/>
      <c r="AV52" s="7"/>
      <c r="AW52" s="401" t="s">
        <v>103</v>
      </c>
      <c r="AX52" s="402"/>
      <c r="AY52" s="38"/>
      <c r="AZ52" s="71"/>
      <c r="BA52" s="71"/>
      <c r="BB52" s="71"/>
      <c r="BC52" s="71"/>
      <c r="BD52" s="71"/>
      <c r="BF52" s="7"/>
      <c r="BG52" s="7"/>
      <c r="BH52" s="7"/>
      <c r="BI52" s="7"/>
      <c r="BJ52" s="35"/>
      <c r="BK52" s="35"/>
      <c r="BL52" s="7"/>
      <c r="BM52" s="403" t="s">
        <v>104</v>
      </c>
      <c r="BN52" s="404"/>
      <c r="BO52" s="68"/>
      <c r="BP52" s="68"/>
      <c r="BQ52" s="68"/>
      <c r="BR52" s="68"/>
      <c r="BS52" s="68"/>
      <c r="BT52" s="68"/>
      <c r="BU52" s="68"/>
      <c r="BV52" s="68"/>
      <c r="BW52" s="131"/>
      <c r="BX52" s="47"/>
      <c r="BY52" s="131"/>
      <c r="BZ52" s="131"/>
      <c r="CA52" s="131"/>
      <c r="CB52" s="131"/>
      <c r="CC52" s="131"/>
      <c r="CD52" s="7"/>
      <c r="CE52" s="7"/>
      <c r="CF52" s="7"/>
      <c r="CG52" s="403" t="s">
        <v>25</v>
      </c>
      <c r="CH52" s="404"/>
      <c r="CI52" s="46"/>
      <c r="CJ52" s="46"/>
      <c r="CK52" s="7"/>
      <c r="CL52" s="7"/>
      <c r="CM52" s="7"/>
      <c r="CN52" s="131"/>
      <c r="CO52" s="131"/>
      <c r="CP52" s="131"/>
      <c r="CQ52" s="131"/>
      <c r="CR52" s="131"/>
      <c r="CS52" s="131"/>
      <c r="CT52" s="131"/>
      <c r="CU52" s="49"/>
      <c r="CV52" s="77"/>
      <c r="CW52" s="64"/>
      <c r="CX52" s="49"/>
      <c r="CY52" s="49"/>
      <c r="CZ52" s="421" t="s">
        <v>32</v>
      </c>
      <c r="DA52" s="422"/>
      <c r="DB52" s="46"/>
      <c r="DC52" s="2"/>
      <c r="DD52" s="2"/>
      <c r="DE52" s="7"/>
      <c r="DF52" s="7"/>
      <c r="DG52" s="7"/>
      <c r="DH52" s="7"/>
      <c r="DI52" s="132"/>
      <c r="DJ52" s="46"/>
      <c r="DK52" s="46"/>
      <c r="DL52" s="46"/>
      <c r="DM52" s="46"/>
      <c r="DN52" s="46"/>
      <c r="DO52" s="46"/>
      <c r="DP52" s="417" t="s">
        <v>36</v>
      </c>
      <c r="DQ52" s="418"/>
      <c r="DR52" s="68"/>
      <c r="DS52" s="68"/>
      <c r="DT52" s="2"/>
      <c r="DU52" s="2"/>
      <c r="DV52" s="68"/>
      <c r="DW52" s="7"/>
      <c r="DX52" s="2"/>
      <c r="DY52" s="2"/>
      <c r="DZ52" s="133"/>
      <c r="EA52" s="7"/>
      <c r="EB52" s="132"/>
      <c r="EC52" s="46"/>
      <c r="ED52" s="46"/>
      <c r="EE52" s="46"/>
      <c r="EF52" s="46"/>
      <c r="EG52" s="46"/>
      <c r="EH52" s="2"/>
      <c r="EI52" s="2"/>
      <c r="EJ52" s="49"/>
      <c r="EK52" s="2"/>
      <c r="EL52" s="417" t="s">
        <v>40</v>
      </c>
      <c r="EM52" s="418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6"/>
      <c r="EZ52" s="2"/>
      <c r="FA52" s="403" t="s">
        <v>20</v>
      </c>
      <c r="FB52" s="404"/>
      <c r="FC52" s="2"/>
      <c r="FD52" s="2"/>
      <c r="FE52" s="7"/>
      <c r="FF52" s="7"/>
      <c r="FG52" s="7"/>
      <c r="FH52" s="7"/>
      <c r="FI52" s="7"/>
      <c r="FJ52" s="7"/>
      <c r="FK52" s="7"/>
      <c r="FL52" s="403" t="s">
        <v>27</v>
      </c>
      <c r="FM52" s="404"/>
      <c r="FN52" s="2"/>
      <c r="FO52" s="2"/>
      <c r="FP52" s="7"/>
      <c r="FQ52" s="7"/>
      <c r="FR52" s="7"/>
      <c r="FS52" s="6"/>
      <c r="FT52" s="35"/>
      <c r="FX52" s="2"/>
      <c r="FY52" s="2"/>
      <c r="FZ52" s="2"/>
      <c r="GA52" s="2"/>
      <c r="GB52" s="2"/>
      <c r="GC52" s="2"/>
      <c r="GD52" s="419" t="s">
        <v>105</v>
      </c>
      <c r="GE52" s="420"/>
      <c r="GH52" s="2"/>
      <c r="GI52" s="2"/>
      <c r="GJ52" s="2"/>
      <c r="GK52" s="109"/>
      <c r="GL52" s="7"/>
      <c r="GM52" s="7"/>
      <c r="GN52" s="49"/>
      <c r="GP52" s="4"/>
      <c r="GQ52" s="7"/>
      <c r="GR52" s="7"/>
      <c r="GS52" s="7"/>
      <c r="GT52" s="7"/>
      <c r="GU52" s="20"/>
      <c r="GV52" s="7"/>
      <c r="GY52" s="2"/>
      <c r="GZ52" s="2"/>
      <c r="HA52" s="2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7"/>
      <c r="IQ52" s="426"/>
      <c r="IR52" s="425"/>
      <c r="IS52" s="425"/>
      <c r="IT52" s="18"/>
      <c r="IU52" s="12"/>
      <c r="IV52" s="428"/>
      <c r="IW52" s="428"/>
      <c r="IX52" s="428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KG52" s="62"/>
      <c r="KH52" s="62"/>
      <c r="KI52" s="50"/>
      <c r="KJ52" s="134"/>
      <c r="KK52" s="135"/>
      <c r="KL52" s="136"/>
      <c r="KM52" s="74"/>
      <c r="KN52" s="137"/>
      <c r="KO52" s="112"/>
      <c r="KP52" s="38"/>
      <c r="KR52" s="38"/>
      <c r="KS52" s="7"/>
      <c r="KT52" s="12"/>
      <c r="KU52" s="13"/>
      <c r="KV52" s="13"/>
      <c r="KW52" s="12"/>
      <c r="KX52" s="13"/>
      <c r="KY52" s="18"/>
      <c r="KZ52" s="9"/>
      <c r="LA52" s="7"/>
      <c r="LB52" s="7"/>
      <c r="LC52" s="12"/>
      <c r="LD52" s="13"/>
      <c r="LE52" s="13"/>
      <c r="LF52" s="18"/>
      <c r="LG52" s="9"/>
      <c r="LI52" s="38"/>
      <c r="LJ52" s="15"/>
      <c r="LK52" s="14"/>
      <c r="LL52" s="14"/>
      <c r="LM52" s="14"/>
      <c r="LN52" s="9"/>
      <c r="LO52" s="7"/>
      <c r="LP52" s="7"/>
      <c r="LQ52" s="7"/>
      <c r="LR52" s="9"/>
      <c r="LS52" s="7"/>
      <c r="LT52" s="38"/>
      <c r="LU52" s="38"/>
      <c r="LV52" s="52"/>
      <c r="LX52" s="62"/>
      <c r="LY52" s="12"/>
      <c r="LZ52" s="13"/>
      <c r="MA52" s="60"/>
      <c r="MB52" s="138"/>
      <c r="MC52" s="5"/>
      <c r="ME52" s="7"/>
      <c r="MF52" s="12"/>
      <c r="MG52" s="13"/>
      <c r="MH52" s="13"/>
      <c r="MI52" s="13"/>
      <c r="MJ52" s="9"/>
      <c r="ML52" s="7"/>
      <c r="MM52" s="9"/>
      <c r="MN52" s="2"/>
      <c r="MO52" s="7"/>
      <c r="MP52" s="9"/>
      <c r="MQ52" s="2"/>
      <c r="MR52" s="7"/>
      <c r="MS52" s="9"/>
    </row>
    <row r="53" spans="2:357" ht="17.25" customHeight="1">
      <c r="C53" s="15"/>
      <c r="D53" s="33"/>
      <c r="F53" s="7"/>
      <c r="G53" s="7"/>
      <c r="H53" s="46"/>
      <c r="I53" s="7"/>
      <c r="J53" s="139"/>
      <c r="K53" s="35"/>
      <c r="L53" s="113"/>
      <c r="M53" s="7"/>
      <c r="O53" s="46"/>
      <c r="P53" s="68"/>
      <c r="Q53" s="7"/>
      <c r="R53" s="7"/>
      <c r="S53" s="114"/>
      <c r="T53" s="49"/>
      <c r="U53" s="76"/>
      <c r="V53" s="140"/>
      <c r="W53" s="7"/>
      <c r="X53" s="7"/>
      <c r="Y53" s="7"/>
      <c r="AA53" s="71"/>
      <c r="AB53" s="71"/>
      <c r="AC53" s="351" t="s">
        <v>106</v>
      </c>
      <c r="AD53" s="352"/>
      <c r="AE53" s="29"/>
      <c r="AF53" s="7"/>
      <c r="AG53" s="7"/>
      <c r="AH53" s="7"/>
      <c r="AI53" s="7"/>
      <c r="AJ53" s="71"/>
      <c r="AK53" s="38"/>
      <c r="AL53" s="383" t="s">
        <v>107</v>
      </c>
      <c r="AM53" s="384"/>
      <c r="AN53" s="71"/>
      <c r="AO53" s="71"/>
      <c r="AP53" s="71"/>
      <c r="AQ53" s="71"/>
      <c r="AR53" s="71"/>
      <c r="AS53" s="71"/>
      <c r="AT53" s="71"/>
      <c r="AU53" s="38"/>
      <c r="AV53" s="7"/>
      <c r="AW53" s="383" t="s">
        <v>108</v>
      </c>
      <c r="AX53" s="384"/>
      <c r="AY53" s="38"/>
      <c r="AZ53" s="71"/>
      <c r="BA53" s="71"/>
      <c r="BB53" s="71"/>
      <c r="BC53" s="71"/>
      <c r="BD53" s="71"/>
      <c r="BF53" s="7"/>
      <c r="BG53" s="7"/>
      <c r="BH53" s="7"/>
      <c r="BI53" s="7"/>
      <c r="BJ53" s="35"/>
      <c r="BK53" s="35"/>
      <c r="BL53" s="7"/>
      <c r="BM53" s="359" t="s">
        <v>109</v>
      </c>
      <c r="BN53" s="360"/>
      <c r="BO53" s="68"/>
      <c r="BP53" s="68"/>
      <c r="BQ53" s="68"/>
      <c r="BR53" s="68"/>
      <c r="BS53" s="68"/>
      <c r="BT53" s="68"/>
      <c r="BU53" s="68"/>
      <c r="BV53" s="68"/>
      <c r="BW53" s="47"/>
      <c r="BX53" s="47"/>
      <c r="BY53" s="47"/>
      <c r="BZ53" s="47"/>
      <c r="CA53" s="47"/>
      <c r="CB53" s="47"/>
      <c r="CC53" s="47"/>
      <c r="CD53" s="7"/>
      <c r="CE53" s="7"/>
      <c r="CF53" s="7"/>
      <c r="CG53" s="369" t="s">
        <v>110</v>
      </c>
      <c r="CH53" s="370"/>
      <c r="CI53" s="141"/>
      <c r="CJ53" s="141"/>
      <c r="CK53" s="7"/>
      <c r="CL53" s="7"/>
      <c r="CM53" s="7"/>
      <c r="CN53" s="47"/>
      <c r="CO53" s="47"/>
      <c r="CP53" s="47"/>
      <c r="CQ53" s="47"/>
      <c r="CR53" s="47"/>
      <c r="CS53" s="47"/>
      <c r="CT53" s="47"/>
      <c r="CU53" s="46"/>
      <c r="CV53" s="142"/>
      <c r="CW53" s="143"/>
      <c r="CX53" s="47"/>
      <c r="CY53" s="47"/>
      <c r="CZ53" s="349" t="s">
        <v>111</v>
      </c>
      <c r="DA53" s="350"/>
      <c r="DB53" s="68"/>
      <c r="DC53" s="2"/>
      <c r="DD53" s="2"/>
      <c r="DE53" s="7"/>
      <c r="DF53" s="7"/>
      <c r="DG53" s="7"/>
      <c r="DH53" s="7"/>
      <c r="DI53" s="143"/>
      <c r="DJ53" s="7"/>
      <c r="DK53" s="7"/>
      <c r="DL53" s="7"/>
      <c r="DM53" s="7"/>
      <c r="DN53" s="7"/>
      <c r="DO53" s="7"/>
      <c r="DP53" s="349" t="s">
        <v>112</v>
      </c>
      <c r="DQ53" s="350"/>
      <c r="DR53" s="68"/>
      <c r="DS53" s="68"/>
      <c r="DT53" s="2"/>
      <c r="DU53" s="2"/>
      <c r="DV53" s="68"/>
      <c r="DW53" s="7"/>
      <c r="DX53" s="2"/>
      <c r="DY53" s="2"/>
      <c r="DZ53" s="144"/>
      <c r="EA53" s="7"/>
      <c r="EB53" s="144"/>
      <c r="EC53" s="68"/>
      <c r="ED53" s="68"/>
      <c r="EE53" s="68"/>
      <c r="EF53" s="46"/>
      <c r="EG53" s="46"/>
      <c r="EH53" s="2"/>
      <c r="EI53" s="2"/>
      <c r="EJ53" s="143"/>
      <c r="EK53" s="2"/>
      <c r="EL53" s="412" t="s">
        <v>113</v>
      </c>
      <c r="EM53" s="413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6"/>
      <c r="EZ53" s="2"/>
      <c r="FA53" s="383" t="s">
        <v>114</v>
      </c>
      <c r="FB53" s="384"/>
      <c r="FC53" s="2"/>
      <c r="FD53" s="2"/>
      <c r="FE53" s="7"/>
      <c r="FF53" s="7"/>
      <c r="FG53" s="7"/>
      <c r="FH53" s="7"/>
      <c r="FI53" s="7"/>
      <c r="FJ53" s="7"/>
      <c r="FK53" s="7"/>
      <c r="FL53" s="383" t="s">
        <v>115</v>
      </c>
      <c r="FM53" s="384"/>
      <c r="FN53" s="145"/>
      <c r="FO53" s="2"/>
      <c r="FP53" s="7"/>
      <c r="FQ53" s="7"/>
      <c r="FR53" s="7"/>
      <c r="FS53" s="6"/>
      <c r="FT53" s="35"/>
      <c r="FX53" s="7"/>
      <c r="FY53" s="7"/>
      <c r="FZ53" s="7"/>
      <c r="GA53" s="7"/>
      <c r="GB53" s="64"/>
      <c r="GC53" s="64"/>
      <c r="GD53" s="414" t="s">
        <v>116</v>
      </c>
      <c r="GE53" s="415"/>
      <c r="GF53" s="2"/>
      <c r="GG53" s="2"/>
      <c r="GH53" s="64"/>
      <c r="GI53" s="64"/>
      <c r="GJ53" s="64"/>
      <c r="GK53" s="109"/>
      <c r="GL53" s="7"/>
      <c r="GM53" s="7"/>
      <c r="GN53" s="7"/>
      <c r="GP53" s="4"/>
      <c r="GQ53" s="7"/>
      <c r="GR53" s="7"/>
      <c r="GS53" s="7"/>
      <c r="GT53" s="7"/>
      <c r="GU53" s="20"/>
      <c r="GV53" s="7"/>
      <c r="GW53" s="7"/>
      <c r="GX53" s="7"/>
      <c r="GY53" s="2"/>
      <c r="GZ53" s="2"/>
      <c r="HA53" s="2"/>
      <c r="HB53" s="7"/>
      <c r="HC53" s="7"/>
      <c r="HD53" s="12"/>
      <c r="HE53" s="13"/>
      <c r="HF53" s="13"/>
      <c r="HG53" s="13"/>
      <c r="HH53" s="13"/>
      <c r="HI53" s="13"/>
      <c r="HJ53" s="13"/>
      <c r="HK53" s="13"/>
      <c r="HL53" s="61"/>
      <c r="HM53" s="61"/>
      <c r="HN53" s="13"/>
      <c r="HO53" s="12"/>
      <c r="HP53" s="61"/>
      <c r="HQ53" s="61"/>
      <c r="HR53" s="13"/>
      <c r="HS53" s="13"/>
      <c r="HT53" s="13"/>
      <c r="HU53" s="61"/>
      <c r="HV53" s="61"/>
      <c r="HW53" s="53"/>
      <c r="HX53" s="12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2"/>
      <c r="IJ53" s="13"/>
      <c r="IK53" s="13"/>
      <c r="IL53" s="13"/>
      <c r="IM53" s="146"/>
      <c r="IN53" s="146"/>
      <c r="IO53" s="61"/>
      <c r="IP53" s="61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47"/>
      <c r="JB53" s="61"/>
      <c r="JC53" s="13"/>
      <c r="JD53" s="13"/>
      <c r="JE53" s="13"/>
      <c r="JF53" s="13"/>
      <c r="JG53" s="13"/>
      <c r="JH53" s="13"/>
      <c r="JI53" s="13"/>
      <c r="JJ53" s="13"/>
      <c r="JK53" s="13"/>
      <c r="JL53" s="13"/>
      <c r="JM53" s="13"/>
      <c r="JN53" s="13"/>
      <c r="JO53" s="12"/>
      <c r="JP53" s="13"/>
      <c r="JQ53" s="13"/>
      <c r="JR53" s="13"/>
      <c r="JS53" s="13"/>
      <c r="JT53" s="13"/>
      <c r="JU53" s="13"/>
      <c r="JV53" s="13"/>
      <c r="JW53" s="14"/>
      <c r="JX53" s="14"/>
      <c r="JY53" s="14"/>
      <c r="JZ53" s="14"/>
      <c r="KA53" s="15"/>
      <c r="KB53" s="14"/>
      <c r="KC53" s="14"/>
      <c r="KD53" s="14"/>
      <c r="KE53" s="4"/>
      <c r="KG53" s="62"/>
      <c r="KH53" s="62"/>
      <c r="KI53" s="112"/>
      <c r="KJ53" s="62"/>
      <c r="KK53" s="62"/>
      <c r="KL53" s="112"/>
      <c r="KM53" s="38"/>
      <c r="KN53" s="38"/>
      <c r="KO53" s="52"/>
      <c r="KP53" s="38"/>
      <c r="KR53" s="38"/>
      <c r="KS53" s="7"/>
      <c r="KT53" s="9"/>
      <c r="KU53" s="7"/>
      <c r="KV53" s="7"/>
      <c r="KW53" s="9"/>
      <c r="KX53" s="7"/>
      <c r="KY53" s="19"/>
      <c r="KZ53" s="9"/>
      <c r="LA53" s="7"/>
      <c r="LB53" s="7"/>
      <c r="LC53" s="9"/>
      <c r="LD53" s="7"/>
      <c r="LE53" s="7"/>
      <c r="LF53" s="19"/>
      <c r="LG53" s="9"/>
      <c r="LI53" s="62"/>
      <c r="LJ53" s="52"/>
      <c r="LM53" s="7"/>
      <c r="LN53" s="9"/>
      <c r="LO53" s="7"/>
      <c r="LP53" s="7"/>
      <c r="LQ53" s="7"/>
      <c r="LR53" s="9"/>
      <c r="LS53" s="7"/>
      <c r="LT53" s="38"/>
      <c r="LU53" s="38"/>
      <c r="LV53" s="52"/>
      <c r="LX53" s="7"/>
      <c r="LY53" s="9"/>
      <c r="LZ53" s="7"/>
      <c r="MA53" s="5"/>
      <c r="MB53" s="148"/>
      <c r="MC53" s="5"/>
      <c r="ME53" s="7"/>
      <c r="MF53" s="9"/>
      <c r="MG53" s="7"/>
      <c r="MH53" s="7"/>
      <c r="MI53" s="7"/>
      <c r="MJ53" s="9"/>
      <c r="ML53" s="7"/>
      <c r="MM53" s="9"/>
      <c r="MN53" s="2"/>
      <c r="MO53" s="2"/>
      <c r="MP53" s="57"/>
      <c r="MQ53" s="2"/>
      <c r="MR53" s="7"/>
      <c r="MS53" s="9"/>
    </row>
    <row r="54" spans="2:357" ht="17.25" customHeight="1">
      <c r="B54" s="149"/>
      <c r="C54" s="150"/>
      <c r="D54" s="151"/>
      <c r="E54" s="149"/>
      <c r="F54" s="7"/>
      <c r="G54" s="7"/>
      <c r="H54" s="20"/>
      <c r="I54" s="7"/>
      <c r="J54" s="7"/>
      <c r="K54" s="7"/>
      <c r="L54" s="113"/>
      <c r="M54" s="7"/>
      <c r="O54" s="46"/>
      <c r="P54" s="68"/>
      <c r="Q54" s="7"/>
      <c r="R54" s="7"/>
      <c r="S54" s="114"/>
      <c r="T54" s="38"/>
      <c r="U54" s="38"/>
      <c r="V54" s="38"/>
      <c r="W54" s="38"/>
      <c r="X54" s="38"/>
      <c r="Y54" s="7"/>
      <c r="AA54" s="71"/>
      <c r="AB54" s="71"/>
      <c r="AC54" s="67"/>
      <c r="AD54" s="45">
        <f>AB59+AF59+2</f>
        <v>25</v>
      </c>
      <c r="AE54" s="52"/>
      <c r="AF54" s="416" t="s">
        <v>117</v>
      </c>
      <c r="AG54" s="416"/>
      <c r="AH54" s="416"/>
      <c r="AI54" s="416"/>
      <c r="AJ54" s="71"/>
      <c r="AK54" s="38"/>
      <c r="AL54" s="71"/>
      <c r="AM54" s="45">
        <f>AJ59+AM59+AP59+1</f>
        <v>27</v>
      </c>
      <c r="AN54" s="71"/>
      <c r="AO54" s="71"/>
      <c r="AP54" s="71"/>
      <c r="AQ54" s="71"/>
      <c r="AR54" s="71"/>
      <c r="AS54" s="71"/>
      <c r="AT54" s="71"/>
      <c r="AU54" s="38"/>
      <c r="AV54" s="7"/>
      <c r="AW54" s="71"/>
      <c r="AX54" s="45">
        <f>AT59+AW59+BC59+AZ59+1</f>
        <v>29</v>
      </c>
      <c r="AY54" s="38"/>
      <c r="AZ54" s="71"/>
      <c r="BA54" s="71"/>
      <c r="BB54" s="71"/>
      <c r="BC54" s="71"/>
      <c r="BD54" s="71"/>
      <c r="BF54" s="46"/>
      <c r="BG54" s="46"/>
      <c r="BH54" s="7"/>
      <c r="BI54" s="7"/>
      <c r="BJ54" s="35"/>
      <c r="BK54" s="35"/>
      <c r="BL54" s="7"/>
      <c r="BM54" s="46"/>
      <c r="BN54" s="43">
        <f>BG59+BK59+BO59+BS59+1</f>
        <v>20</v>
      </c>
      <c r="BO54" s="152"/>
      <c r="BP54" s="152"/>
      <c r="BQ54" s="152"/>
      <c r="BR54" s="152"/>
      <c r="BS54" s="152"/>
      <c r="BT54" s="152"/>
      <c r="BU54" s="152"/>
      <c r="BV54" s="152"/>
      <c r="BW54" s="68"/>
      <c r="BX54" s="68"/>
      <c r="BY54" s="68"/>
      <c r="BZ54" s="68"/>
      <c r="CA54" s="68"/>
      <c r="CB54" s="68"/>
      <c r="CC54" s="68"/>
      <c r="CD54" s="7"/>
      <c r="CE54" s="7"/>
      <c r="CF54" s="7"/>
      <c r="CG54" s="7"/>
      <c r="CH54" s="72">
        <f>BW59+CA59+CE59+CI59+CL59+CP59+CS59+1</f>
        <v>40</v>
      </c>
      <c r="CI54" s="46"/>
      <c r="CJ54" s="46"/>
      <c r="CK54" s="7"/>
      <c r="CL54" s="7"/>
      <c r="CM54" s="7"/>
      <c r="CN54" s="68"/>
      <c r="CO54" s="68"/>
      <c r="CP54" s="68"/>
      <c r="CQ54" s="68"/>
      <c r="CR54" s="68"/>
      <c r="CS54" s="68"/>
      <c r="CT54" s="68"/>
      <c r="CU54" s="49"/>
      <c r="CV54" s="153"/>
      <c r="CW54" s="64"/>
      <c r="CX54" s="131"/>
      <c r="CY54" s="131"/>
      <c r="CZ54" s="41"/>
      <c r="DA54" s="43">
        <f>DE59+DA59+CW59+1</f>
        <v>14</v>
      </c>
      <c r="DB54" s="68"/>
      <c r="DC54" s="2"/>
      <c r="DD54" s="2"/>
      <c r="DE54" s="7"/>
      <c r="DF54" s="7"/>
      <c r="DG54" s="7"/>
      <c r="DH54" s="7"/>
      <c r="DI54" s="46"/>
      <c r="DJ54" s="7"/>
      <c r="DK54" s="7"/>
      <c r="DL54" s="7"/>
      <c r="DM54" s="7"/>
      <c r="DN54" s="7"/>
      <c r="DO54" s="7"/>
      <c r="DP54" s="68"/>
      <c r="DQ54" s="72">
        <f>DI59+DM59+DQ59+DU59+DY59+1</f>
        <v>26</v>
      </c>
      <c r="DR54" s="68"/>
      <c r="DS54" s="68"/>
      <c r="DT54" s="2"/>
      <c r="DU54" s="2"/>
      <c r="DV54" s="68"/>
      <c r="DW54" s="7"/>
      <c r="DX54" s="2"/>
      <c r="DY54" s="2"/>
      <c r="DZ54" s="46"/>
      <c r="EA54" s="7"/>
      <c r="EB54" s="46"/>
      <c r="EC54" s="154"/>
      <c r="ED54" s="154"/>
      <c r="EE54" s="154"/>
      <c r="EF54" s="46"/>
      <c r="EG54" s="46"/>
      <c r="EH54" s="2"/>
      <c r="EI54" s="2"/>
      <c r="EJ54" s="64"/>
      <c r="EK54" s="2"/>
      <c r="EL54" s="68"/>
      <c r="EM54" s="72">
        <f>EC59+EG59+EK59+EO59+ES59+EW59+1</f>
        <v>28</v>
      </c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6"/>
      <c r="EZ54" s="2"/>
      <c r="FA54" s="7"/>
      <c r="FB54" s="43">
        <f>FB59+1</f>
        <v>7</v>
      </c>
      <c r="FC54" s="2"/>
      <c r="FD54" s="2"/>
      <c r="FE54" s="2"/>
      <c r="FF54" s="2"/>
      <c r="FG54" s="2"/>
      <c r="FH54" s="2"/>
      <c r="FI54" s="2"/>
      <c r="FJ54" s="2"/>
      <c r="FK54" s="7"/>
      <c r="FL54" s="7"/>
      <c r="FM54" s="72">
        <f>FF59+FI59+FL59+FO59+FR59+FU59+1</f>
        <v>27</v>
      </c>
      <c r="FN54" s="2"/>
      <c r="FO54" s="2"/>
      <c r="FP54" s="2"/>
      <c r="FQ54" s="7"/>
      <c r="FR54" s="7"/>
      <c r="FS54" s="6"/>
      <c r="FT54" s="35"/>
      <c r="FX54" s="7"/>
      <c r="FY54" s="7"/>
      <c r="FZ54" s="7"/>
      <c r="GA54" s="7"/>
      <c r="GB54" s="64"/>
      <c r="GC54" s="64"/>
      <c r="GE54" s="43">
        <v>19</v>
      </c>
      <c r="GF54" s="2"/>
      <c r="GG54" s="2"/>
      <c r="GH54" s="64"/>
      <c r="GI54" s="64"/>
      <c r="GJ54" s="64"/>
      <c r="GK54" s="109"/>
      <c r="GL54" s="7"/>
      <c r="GM54" s="7"/>
      <c r="GN54" s="7"/>
      <c r="GO54" s="49"/>
      <c r="GP54" s="4"/>
      <c r="GQ54" s="7"/>
      <c r="GR54" s="7"/>
      <c r="GS54" s="7"/>
      <c r="GT54" s="7"/>
      <c r="GU54" s="2"/>
      <c r="GV54" s="2"/>
      <c r="GW54" s="2"/>
      <c r="GX54" s="2"/>
      <c r="GY54" s="2"/>
      <c r="GZ54" s="2"/>
      <c r="HA54" s="2"/>
      <c r="HB54" s="2"/>
      <c r="HC54" s="2"/>
      <c r="HD54" s="57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57"/>
      <c r="HP54" s="2"/>
      <c r="HQ54" s="2"/>
      <c r="HR54" s="2"/>
      <c r="HS54" s="2"/>
      <c r="HT54" s="2"/>
      <c r="HU54" s="2"/>
      <c r="HV54" s="2"/>
      <c r="HW54" s="2"/>
      <c r="HX54" s="57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57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57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57"/>
      <c r="JP54" s="2"/>
      <c r="JQ54" s="2"/>
      <c r="JR54" s="2"/>
      <c r="JS54" s="2"/>
      <c r="JT54" s="2"/>
      <c r="JU54" s="2"/>
      <c r="JV54" s="2"/>
      <c r="KA54" s="4"/>
      <c r="KE54" s="4"/>
      <c r="KG54" s="38"/>
      <c r="KH54" s="38"/>
      <c r="KI54" s="52"/>
      <c r="KJ54" s="38"/>
      <c r="KK54" s="38"/>
      <c r="KL54" s="52"/>
      <c r="KM54" s="38"/>
      <c r="KN54" s="38"/>
      <c r="KO54" s="52"/>
      <c r="KP54" s="38"/>
      <c r="KR54" s="38"/>
      <c r="KS54" s="38"/>
      <c r="KT54" s="52"/>
      <c r="KU54" s="38"/>
      <c r="KV54" s="38"/>
      <c r="KW54" s="52"/>
      <c r="KX54" s="38"/>
      <c r="KY54" s="38"/>
      <c r="KZ54" s="52"/>
      <c r="LA54" s="38"/>
      <c r="LB54" s="38"/>
      <c r="LC54" s="52"/>
      <c r="LD54" s="38"/>
      <c r="LE54" s="38"/>
      <c r="LF54" s="38"/>
      <c r="LG54" s="52"/>
      <c r="LI54" s="38"/>
      <c r="LJ54" s="52"/>
      <c r="LM54" s="38"/>
      <c r="LN54" s="52"/>
      <c r="LO54" s="38"/>
      <c r="LP54" s="38"/>
      <c r="LQ54" s="38"/>
      <c r="LR54" s="52"/>
      <c r="LS54" s="38"/>
      <c r="LT54" s="38"/>
      <c r="LU54" s="81"/>
      <c r="LV54" s="38"/>
      <c r="LX54" s="2"/>
      <c r="LY54" s="57"/>
      <c r="LZ54" s="2"/>
      <c r="MA54" s="5"/>
      <c r="MB54" s="148"/>
      <c r="MC54" s="5"/>
      <c r="ME54" s="38"/>
      <c r="MF54" s="52"/>
      <c r="MG54" s="38"/>
      <c r="MH54" s="38"/>
      <c r="MI54" s="38"/>
      <c r="MJ54" s="52"/>
      <c r="ML54" s="7"/>
      <c r="MM54" s="9"/>
      <c r="MN54" s="2"/>
      <c r="MO54" s="7"/>
      <c r="MP54" s="9"/>
      <c r="MQ54" s="2"/>
      <c r="MR54" s="97"/>
      <c r="MS54" s="9"/>
    </row>
    <row r="55" spans="2:357" ht="17.25" customHeight="1">
      <c r="B55" s="333" t="s">
        <v>118</v>
      </c>
      <c r="C55" s="333"/>
      <c r="D55" s="318" t="s">
        <v>119</v>
      </c>
      <c r="E55" s="318"/>
      <c r="F55" s="411"/>
      <c r="G55" s="46"/>
      <c r="H55" s="327" t="s">
        <v>95</v>
      </c>
      <c r="I55" s="327"/>
      <c r="J55" s="7"/>
      <c r="K55" s="7"/>
      <c r="L55" s="113"/>
      <c r="M55" s="7"/>
      <c r="O55" s="46"/>
      <c r="P55" s="156"/>
      <c r="Q55" s="13"/>
      <c r="R55" s="13"/>
      <c r="S55" s="40"/>
      <c r="T55" s="13"/>
      <c r="U55" s="75"/>
      <c r="V55" s="38"/>
      <c r="W55" s="38"/>
      <c r="X55" s="38"/>
      <c r="Y55" s="38"/>
      <c r="AA55" s="71"/>
      <c r="AB55" s="71"/>
      <c r="AC55" s="67"/>
      <c r="AD55" s="298">
        <f>AB60+AF60+2</f>
        <v>25</v>
      </c>
      <c r="AE55" s="55"/>
      <c r="AF55" s="416"/>
      <c r="AG55" s="416"/>
      <c r="AH55" s="416"/>
      <c r="AI55" s="416"/>
      <c r="AJ55" s="71"/>
      <c r="AK55" s="38"/>
      <c r="AL55" s="71"/>
      <c r="AM55" s="298">
        <f>AJ60+AM60+AP60+1</f>
        <v>27</v>
      </c>
      <c r="AN55" s="71"/>
      <c r="AO55" s="71"/>
      <c r="AP55" s="71"/>
      <c r="AQ55" s="71"/>
      <c r="AR55" s="71"/>
      <c r="AS55" s="71"/>
      <c r="AT55" s="71"/>
      <c r="AU55" s="38"/>
      <c r="AV55" s="7"/>
      <c r="AW55" s="71"/>
      <c r="AX55" s="298">
        <f>AT60+AW60+BC60+AZ60+1</f>
        <v>29</v>
      </c>
      <c r="AY55" s="38"/>
      <c r="AZ55" s="71"/>
      <c r="BA55" s="71"/>
      <c r="BB55" s="157"/>
      <c r="BC55" s="71"/>
      <c r="BD55" s="71"/>
      <c r="BF55" s="46"/>
      <c r="BG55" s="46"/>
      <c r="BH55" s="46"/>
      <c r="BI55" s="7"/>
      <c r="BJ55" s="35"/>
      <c r="BK55" s="35"/>
      <c r="BL55" s="7"/>
      <c r="BM55" s="46"/>
      <c r="BN55" s="297">
        <f>BG60+BK60+BO60+BS60+1</f>
        <v>34</v>
      </c>
      <c r="BO55" s="131"/>
      <c r="BP55" s="131"/>
      <c r="BQ55" s="131"/>
      <c r="BR55" s="131"/>
      <c r="BS55" s="131"/>
      <c r="BT55" s="131"/>
      <c r="BU55" s="131"/>
      <c r="BV55" s="131"/>
      <c r="BW55" s="46"/>
      <c r="BX55" s="46"/>
      <c r="BY55" s="46"/>
      <c r="BZ55" s="46"/>
      <c r="CA55" s="46"/>
      <c r="CB55" s="46"/>
      <c r="CC55" s="46"/>
      <c r="CD55" s="7"/>
      <c r="CE55" s="7"/>
      <c r="CF55" s="7"/>
      <c r="CG55" s="49"/>
      <c r="CH55" s="297">
        <f>BW60+CA60+CE60+CI60+CL60+CP60+CS60+1</f>
        <v>54</v>
      </c>
      <c r="CI55" s="46"/>
      <c r="CJ55" s="46"/>
      <c r="CK55" s="7"/>
      <c r="CL55" s="46"/>
      <c r="CM55" s="46"/>
      <c r="CN55" s="46"/>
      <c r="CO55" s="46"/>
      <c r="CP55" s="46"/>
      <c r="CQ55" s="46"/>
      <c r="CR55" s="46"/>
      <c r="CS55" s="46"/>
      <c r="CT55" s="46"/>
      <c r="CU55" s="154"/>
      <c r="CV55" s="49"/>
      <c r="CW55" s="64"/>
      <c r="CX55" s="152"/>
      <c r="CY55" s="152"/>
      <c r="CZ55" s="158"/>
      <c r="DA55" s="297">
        <f>DE60+DA60+CW60+1</f>
        <v>20</v>
      </c>
      <c r="DB55" s="68"/>
      <c r="DC55" s="2"/>
      <c r="DD55" s="2"/>
      <c r="DE55" s="7"/>
      <c r="DF55" s="7"/>
      <c r="DG55" s="7"/>
      <c r="DH55" s="7"/>
      <c r="DI55" s="49"/>
      <c r="DJ55" s="7"/>
      <c r="DK55" s="7"/>
      <c r="DL55" s="7"/>
      <c r="DM55" s="7"/>
      <c r="DN55" s="7"/>
      <c r="DO55" s="7"/>
      <c r="DP55" s="68"/>
      <c r="DQ55" s="297">
        <f>DI60+DM60+DQ60+DU60+DY60+1</f>
        <v>33</v>
      </c>
      <c r="DR55" s="68"/>
      <c r="DS55" s="68"/>
      <c r="DT55" s="2"/>
      <c r="DU55" s="2"/>
      <c r="DV55" s="68"/>
      <c r="DW55" s="7"/>
      <c r="DX55" s="2"/>
      <c r="DY55" s="2"/>
      <c r="DZ55" s="46"/>
      <c r="EA55" s="7"/>
      <c r="EB55" s="49"/>
      <c r="EC55" s="49"/>
      <c r="ED55" s="49"/>
      <c r="EE55" s="49"/>
      <c r="EF55" s="46"/>
      <c r="EG55" s="46"/>
      <c r="EH55" s="2"/>
      <c r="EI55" s="2"/>
      <c r="EJ55" s="64"/>
      <c r="EK55" s="2"/>
      <c r="EL55" s="68"/>
      <c r="EM55" s="297">
        <f>EC60+EG60+EK60+EO60+ES60+EW60+1</f>
        <v>37</v>
      </c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6"/>
      <c r="EZ55" s="2"/>
      <c r="FA55" s="2"/>
      <c r="FB55" s="107">
        <f>FB60+1</f>
        <v>8</v>
      </c>
      <c r="FC55" s="2"/>
      <c r="FD55" s="2"/>
      <c r="FE55" s="2"/>
      <c r="FF55" s="2"/>
      <c r="FG55" s="2"/>
      <c r="FH55" s="2"/>
      <c r="FI55" s="2"/>
      <c r="FJ55" s="2"/>
      <c r="FK55" s="7"/>
      <c r="FL55" s="7"/>
      <c r="FM55" s="297">
        <f>FF60+FI60+FL60+FO60+FR60+FU60+1</f>
        <v>35</v>
      </c>
      <c r="FN55" s="2"/>
      <c r="FO55" s="2"/>
      <c r="FP55" s="2"/>
      <c r="FQ55" s="2"/>
      <c r="FR55" s="2"/>
      <c r="FS55" s="2"/>
      <c r="FT55" s="35"/>
      <c r="FX55" s="7"/>
      <c r="FY55" s="7"/>
      <c r="FZ55" s="7"/>
      <c r="GA55" s="7"/>
      <c r="GB55" s="64"/>
      <c r="GC55" s="64"/>
      <c r="GD55" s="7"/>
      <c r="GE55" s="297">
        <v>25</v>
      </c>
      <c r="GF55" s="7"/>
      <c r="GG55" s="7"/>
      <c r="GH55" s="64"/>
      <c r="GI55" s="64"/>
      <c r="GJ55" s="64"/>
      <c r="GK55" s="109"/>
      <c r="GL55" s="7"/>
      <c r="GM55" s="7"/>
      <c r="GN55" s="7"/>
      <c r="GO55" s="7"/>
      <c r="GP55" s="36"/>
      <c r="GQ55" s="7"/>
      <c r="GR55" s="7"/>
      <c r="GS55" s="7"/>
      <c r="GT55" s="7"/>
      <c r="GU55" s="2"/>
      <c r="GV55" s="2"/>
      <c r="GW55" s="2"/>
      <c r="GX55" s="2"/>
      <c r="GY55" s="2"/>
      <c r="GZ55" s="2"/>
      <c r="HA55" s="2"/>
      <c r="HB55" s="2"/>
      <c r="HC55" s="2"/>
      <c r="HD55" s="57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57"/>
      <c r="HP55" s="2"/>
      <c r="HQ55" s="2"/>
      <c r="HR55" s="2"/>
      <c r="HS55" s="2"/>
      <c r="HT55" s="2"/>
      <c r="HU55" s="2"/>
      <c r="HV55" s="2"/>
      <c r="HW55" s="2"/>
      <c r="HX55" s="57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57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57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57"/>
      <c r="JP55" s="2"/>
      <c r="JQ55" s="2"/>
      <c r="JR55" s="2"/>
      <c r="JS55" s="2"/>
      <c r="JT55" s="2"/>
      <c r="JU55" s="2"/>
      <c r="JV55" s="2"/>
      <c r="KA55" s="4"/>
      <c r="KE55" s="4"/>
      <c r="KG55" s="38"/>
      <c r="KH55" s="38"/>
      <c r="KI55" s="52"/>
      <c r="KJ55" s="38"/>
      <c r="KK55" s="38"/>
      <c r="KL55" s="52"/>
      <c r="KM55" s="38"/>
      <c r="KN55" s="38"/>
      <c r="KO55" s="52"/>
      <c r="KP55" s="38"/>
      <c r="KR55" s="38"/>
      <c r="KS55" s="38"/>
      <c r="KT55" s="52"/>
      <c r="KU55" s="38"/>
      <c r="KV55" s="38"/>
      <c r="KW55" s="52"/>
      <c r="KX55" s="38"/>
      <c r="KY55" s="38"/>
      <c r="KZ55" s="52"/>
      <c r="LA55" s="38"/>
      <c r="LB55" s="38"/>
      <c r="LC55" s="52"/>
      <c r="LD55" s="38"/>
      <c r="LE55" s="38"/>
      <c r="LF55" s="38"/>
      <c r="LG55" s="52"/>
      <c r="LI55" s="38"/>
      <c r="LJ55" s="4"/>
      <c r="LN55" s="52"/>
      <c r="LO55" s="38"/>
      <c r="LP55" s="38"/>
      <c r="LQ55" s="38"/>
      <c r="LR55" s="52"/>
      <c r="LS55" s="38"/>
      <c r="LT55" s="38"/>
      <c r="LU55" s="81"/>
      <c r="LV55" s="38"/>
      <c r="LX55" s="2"/>
      <c r="LY55" s="57"/>
      <c r="LZ55" s="2"/>
      <c r="MA55" s="5"/>
      <c r="MB55" s="148"/>
      <c r="MC55" s="5"/>
      <c r="ME55" s="38"/>
      <c r="MF55" s="52"/>
      <c r="MG55" s="38"/>
      <c r="MH55" s="38"/>
      <c r="MI55" s="38"/>
      <c r="MJ55" s="52"/>
      <c r="ML55" s="7"/>
      <c r="MM55" s="9"/>
      <c r="MN55" s="2"/>
      <c r="MO55" s="6"/>
      <c r="MP55" s="57"/>
      <c r="MQ55" s="2"/>
      <c r="MR55" s="111"/>
      <c r="MS55" s="9"/>
    </row>
    <row r="56" spans="2:357" ht="17.25" customHeight="1">
      <c r="F56" s="411"/>
      <c r="G56" s="130"/>
      <c r="H56" s="327" t="s">
        <v>120</v>
      </c>
      <c r="I56" s="327"/>
      <c r="J56" s="13"/>
      <c r="K56" s="159"/>
      <c r="L56" s="160"/>
      <c r="M56" s="7"/>
      <c r="O56" s="46"/>
      <c r="P56" s="161"/>
      <c r="Q56" s="131"/>
      <c r="R56" s="46"/>
      <c r="S56" s="162"/>
      <c r="T56" s="108"/>
      <c r="U56" s="163"/>
      <c r="V56" s="7"/>
      <c r="W56" s="7"/>
      <c r="X56" s="38"/>
      <c r="Y56" s="38"/>
      <c r="AA56" s="71"/>
      <c r="AB56" s="102"/>
      <c r="AC56" s="164"/>
      <c r="AD56" s="105"/>
      <c r="AE56" s="165"/>
      <c r="AF56" s="71"/>
      <c r="AG56" s="71"/>
      <c r="AH56" s="71"/>
      <c r="AI56" s="71"/>
      <c r="AJ56" s="102"/>
      <c r="AK56" s="105"/>
      <c r="AL56" s="165"/>
      <c r="AM56" s="105"/>
      <c r="AN56" s="105"/>
      <c r="AO56" s="165"/>
      <c r="AP56" s="71"/>
      <c r="AQ56" s="71"/>
      <c r="AR56" s="71"/>
      <c r="AS56" s="71"/>
      <c r="AT56" s="102"/>
      <c r="AU56" s="105"/>
      <c r="AV56" s="165"/>
      <c r="AW56" s="102"/>
      <c r="AX56" s="105"/>
      <c r="AY56" s="165"/>
      <c r="AZ56" s="102"/>
      <c r="BA56" s="105"/>
      <c r="BB56" s="165"/>
      <c r="BC56" s="115"/>
      <c r="BD56" s="71"/>
      <c r="BF56" s="46"/>
      <c r="BG56" s="40"/>
      <c r="BH56" s="119"/>
      <c r="BI56" s="13"/>
      <c r="BJ56" s="166"/>
      <c r="BK56" s="167"/>
      <c r="BL56" s="13"/>
      <c r="BM56" s="119"/>
      <c r="BN56" s="119"/>
      <c r="BO56" s="86"/>
      <c r="BP56" s="168"/>
      <c r="BQ56" s="168"/>
      <c r="BR56" s="87"/>
      <c r="BS56" s="49"/>
      <c r="BT56" s="49"/>
      <c r="BU56" s="49"/>
      <c r="BV56" s="46"/>
      <c r="BW56" s="169"/>
      <c r="BX56" s="119"/>
      <c r="BY56" s="119"/>
      <c r="BZ56" s="41"/>
      <c r="CA56" s="169"/>
      <c r="CB56" s="119"/>
      <c r="CC56" s="119"/>
      <c r="CD56" s="170"/>
      <c r="CE56" s="169"/>
      <c r="CF56" s="119"/>
      <c r="CG56" s="13"/>
      <c r="CH56" s="13"/>
      <c r="CI56" s="118"/>
      <c r="CJ56" s="119"/>
      <c r="CK56" s="119"/>
      <c r="CL56" s="169"/>
      <c r="CM56" s="119"/>
      <c r="CN56" s="119"/>
      <c r="CO56" s="41"/>
      <c r="CP56" s="169"/>
      <c r="CQ56" s="119"/>
      <c r="CR56" s="41"/>
      <c r="CS56" s="46"/>
      <c r="CT56" s="46"/>
      <c r="CU56" s="46"/>
      <c r="CV56" s="64"/>
      <c r="CW56" s="156"/>
      <c r="CX56" s="13"/>
      <c r="CY56" s="119"/>
      <c r="CZ56" s="119"/>
      <c r="DA56" s="169"/>
      <c r="DB56" s="119"/>
      <c r="DC56" s="13"/>
      <c r="DD56" s="170"/>
      <c r="DE56" s="46"/>
      <c r="DF56" s="7"/>
      <c r="DG56" s="7"/>
      <c r="DH56" s="46"/>
      <c r="DI56" s="156"/>
      <c r="DJ56" s="13"/>
      <c r="DK56" s="13"/>
      <c r="DL56" s="13"/>
      <c r="DM56" s="118"/>
      <c r="DN56" s="13"/>
      <c r="DO56" s="13"/>
      <c r="DP56" s="41"/>
      <c r="DQ56" s="169"/>
      <c r="DR56" s="119"/>
      <c r="DS56" s="119"/>
      <c r="DT56" s="119"/>
      <c r="DU56" s="169"/>
      <c r="DV56" s="13"/>
      <c r="DW56" s="168"/>
      <c r="DX56" s="170"/>
      <c r="DY56" s="89"/>
      <c r="DZ56" s="7"/>
      <c r="EA56" s="46"/>
      <c r="EB56" s="46"/>
      <c r="EC56" s="40"/>
      <c r="ED56" s="119"/>
      <c r="EE56" s="13"/>
      <c r="EF56" s="13"/>
      <c r="EG56" s="169"/>
      <c r="EH56" s="119"/>
      <c r="EI56" s="171"/>
      <c r="EJ56" s="13"/>
      <c r="EK56" s="118"/>
      <c r="EL56" s="13"/>
      <c r="EM56" s="13"/>
      <c r="EN56" s="13"/>
      <c r="EO56" s="118"/>
      <c r="EP56" s="13"/>
      <c r="EQ56" s="13"/>
      <c r="ER56" s="13"/>
      <c r="ES56" s="118"/>
      <c r="ET56" s="13"/>
      <c r="EU56" s="13"/>
      <c r="EV56" s="172"/>
      <c r="EW56" s="7"/>
      <c r="EX56" s="7"/>
      <c r="EY56" s="6"/>
      <c r="EZ56" s="2"/>
      <c r="FB56" s="36"/>
      <c r="FC56" s="2"/>
      <c r="FD56" s="2"/>
      <c r="FE56" s="2"/>
      <c r="FF56" s="147"/>
      <c r="FG56" s="61"/>
      <c r="FH56" s="61"/>
      <c r="FI56" s="61"/>
      <c r="FJ56" s="61"/>
      <c r="FK56" s="13"/>
      <c r="FL56" s="12"/>
      <c r="FM56" s="61"/>
      <c r="FN56" s="61"/>
      <c r="FO56" s="147"/>
      <c r="FP56" s="61"/>
      <c r="FQ56" s="61"/>
      <c r="FR56" s="147"/>
      <c r="FS56" s="61"/>
      <c r="FT56" s="173"/>
      <c r="FX56" s="7"/>
      <c r="FY56" s="7"/>
      <c r="FZ56" s="7"/>
      <c r="GA56" s="7"/>
      <c r="GB56" s="7"/>
      <c r="GC56" s="7"/>
      <c r="GD56" s="7"/>
      <c r="GE56" s="4"/>
      <c r="GF56" s="7"/>
      <c r="GG56" s="7"/>
      <c r="GH56" s="46"/>
      <c r="GI56" s="46"/>
      <c r="GJ56" s="46"/>
      <c r="GK56" s="109"/>
      <c r="GL56" s="7"/>
      <c r="GM56" s="12"/>
      <c r="GN56" s="13"/>
      <c r="GO56" s="13"/>
      <c r="GP56" s="13"/>
      <c r="GQ56" s="172"/>
      <c r="GR56" s="7"/>
      <c r="GS56" s="7"/>
      <c r="GT56" s="7"/>
      <c r="GU56" s="2"/>
      <c r="GV56" s="2"/>
      <c r="GW56" s="2"/>
      <c r="GX56" s="2"/>
      <c r="GY56" s="2"/>
      <c r="GZ56" s="2"/>
      <c r="HA56" s="2"/>
      <c r="HB56" s="2"/>
      <c r="HC56" s="2"/>
      <c r="HD56" s="79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79"/>
      <c r="HP56" s="2"/>
      <c r="HQ56" s="2"/>
      <c r="HR56" s="2"/>
      <c r="HS56" s="2"/>
      <c r="HT56" s="2"/>
      <c r="HU56" s="2"/>
      <c r="HV56" s="2"/>
      <c r="HW56" s="2"/>
      <c r="HX56" s="79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79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79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79"/>
      <c r="JP56" s="2"/>
      <c r="JQ56" s="2"/>
      <c r="JR56" s="2"/>
      <c r="JS56" s="2"/>
      <c r="JT56" s="2"/>
      <c r="JU56" s="2"/>
      <c r="JV56" s="2"/>
      <c r="KA56" s="36"/>
      <c r="KE56" s="36"/>
      <c r="KG56" s="38"/>
      <c r="KH56" s="38"/>
      <c r="KI56" s="70"/>
      <c r="KJ56" s="38"/>
      <c r="KK56" s="38"/>
      <c r="KL56" s="70"/>
      <c r="KM56" s="38"/>
      <c r="KN56" s="38"/>
      <c r="KO56" s="70"/>
      <c r="KP56" s="38"/>
      <c r="KR56" s="38"/>
      <c r="KS56" s="38"/>
      <c r="KT56" s="70"/>
      <c r="KU56" s="38"/>
      <c r="KV56" s="38"/>
      <c r="KW56" s="70"/>
      <c r="KX56" s="38"/>
      <c r="KY56" s="38"/>
      <c r="KZ56" s="70"/>
      <c r="LA56" s="38"/>
      <c r="LB56" s="38"/>
      <c r="LC56" s="70"/>
      <c r="LD56" s="38"/>
      <c r="LE56" s="38"/>
      <c r="LF56" s="38"/>
      <c r="LG56" s="70"/>
      <c r="LI56" s="38"/>
      <c r="LJ56" s="52"/>
      <c r="LK56" s="38"/>
      <c r="LL56" s="38"/>
      <c r="LM56" s="81"/>
      <c r="LN56" s="38"/>
      <c r="LO56" s="38"/>
      <c r="LP56" s="38"/>
      <c r="LQ56" s="38"/>
      <c r="LR56" s="70"/>
      <c r="LS56" s="38"/>
      <c r="LT56" s="38"/>
      <c r="LU56" s="81"/>
      <c r="LV56" s="38"/>
      <c r="LX56" s="2"/>
      <c r="LY56" s="57"/>
      <c r="LZ56" s="2"/>
      <c r="MA56" s="5"/>
      <c r="MB56" s="148"/>
      <c r="MC56" s="5"/>
      <c r="ME56" s="38"/>
      <c r="MF56" s="70"/>
      <c r="MG56" s="38"/>
      <c r="MH56" s="38"/>
      <c r="MI56" s="38"/>
      <c r="MJ56" s="70"/>
      <c r="ML56" s="7"/>
      <c r="MM56" s="126"/>
      <c r="MN56" s="2"/>
      <c r="MO56" s="2"/>
      <c r="MP56" s="57"/>
      <c r="MQ56" s="2"/>
      <c r="MR56" s="314" t="s">
        <v>121</v>
      </c>
      <c r="MS56" s="314"/>
    </row>
    <row r="57" spans="2:357" ht="18" customHeight="1" thickBot="1">
      <c r="F57" s="108"/>
      <c r="G57" s="174"/>
      <c r="H57" s="175"/>
      <c r="I57" s="175"/>
      <c r="J57" s="176"/>
      <c r="K57" s="403" t="s">
        <v>122</v>
      </c>
      <c r="L57" s="404"/>
      <c r="M57" s="7"/>
      <c r="O57" s="409" t="s">
        <v>123</v>
      </c>
      <c r="P57" s="410"/>
      <c r="Q57" s="2"/>
      <c r="R57" s="409" t="s">
        <v>124</v>
      </c>
      <c r="S57" s="410"/>
      <c r="T57" s="2"/>
      <c r="U57" s="409" t="s">
        <v>125</v>
      </c>
      <c r="V57" s="410"/>
      <c r="W57" s="7"/>
      <c r="X57" s="7"/>
      <c r="Y57" s="7"/>
      <c r="AA57" s="401" t="s">
        <v>126</v>
      </c>
      <c r="AB57" s="402"/>
      <c r="AC57" s="177"/>
      <c r="AD57" s="177"/>
      <c r="AE57" s="401" t="s">
        <v>127</v>
      </c>
      <c r="AF57" s="402"/>
      <c r="AG57" s="177"/>
      <c r="AH57" s="29"/>
      <c r="AI57" s="401" t="s">
        <v>128</v>
      </c>
      <c r="AJ57" s="402"/>
      <c r="AK57" s="29"/>
      <c r="AL57" s="401" t="s">
        <v>129</v>
      </c>
      <c r="AM57" s="402"/>
      <c r="AN57" s="29"/>
      <c r="AO57" s="401" t="s">
        <v>130</v>
      </c>
      <c r="AP57" s="402"/>
      <c r="AQ57" s="29"/>
      <c r="AR57" s="177"/>
      <c r="AS57" s="401" t="s">
        <v>131</v>
      </c>
      <c r="AT57" s="402"/>
      <c r="AU57" s="29"/>
      <c r="AV57" s="399" t="s">
        <v>132</v>
      </c>
      <c r="AW57" s="400"/>
      <c r="AX57" s="7"/>
      <c r="AY57" s="399" t="s">
        <v>133</v>
      </c>
      <c r="AZ57" s="400"/>
      <c r="BA57" s="7"/>
      <c r="BB57" s="407" t="s">
        <v>134</v>
      </c>
      <c r="BC57" s="408"/>
      <c r="BD57" s="29"/>
      <c r="BF57" s="403" t="s">
        <v>135</v>
      </c>
      <c r="BG57" s="404"/>
      <c r="BH57" s="46"/>
      <c r="BI57" s="7"/>
      <c r="BJ57" s="403" t="s">
        <v>136</v>
      </c>
      <c r="BK57" s="404"/>
      <c r="BL57" s="46"/>
      <c r="BM57" s="46"/>
      <c r="BN57" s="403" t="s">
        <v>137</v>
      </c>
      <c r="BO57" s="404"/>
      <c r="BP57" s="46"/>
      <c r="BQ57" s="46"/>
      <c r="BR57" s="403" t="s">
        <v>138</v>
      </c>
      <c r="BS57" s="404"/>
      <c r="BT57" s="143"/>
      <c r="BU57" s="46"/>
      <c r="BV57" s="403" t="s">
        <v>139</v>
      </c>
      <c r="BW57" s="404"/>
      <c r="BX57" s="46"/>
      <c r="BY57" s="46"/>
      <c r="BZ57" s="403" t="s">
        <v>140</v>
      </c>
      <c r="CA57" s="404"/>
      <c r="CB57" s="7"/>
      <c r="CC57" s="46"/>
      <c r="CD57" s="403" t="s">
        <v>141</v>
      </c>
      <c r="CE57" s="404"/>
      <c r="CF57" s="46"/>
      <c r="CG57" s="7"/>
      <c r="CH57" s="403" t="s">
        <v>142</v>
      </c>
      <c r="CI57" s="404"/>
      <c r="CJ57" s="7"/>
      <c r="CK57" s="403" t="s">
        <v>143</v>
      </c>
      <c r="CL57" s="404"/>
      <c r="CM57" s="7"/>
      <c r="CN57" s="38"/>
      <c r="CO57" s="403" t="s">
        <v>144</v>
      </c>
      <c r="CP57" s="404"/>
      <c r="CQ57" s="46"/>
      <c r="CR57" s="403" t="s">
        <v>145</v>
      </c>
      <c r="CS57" s="404"/>
      <c r="CT57" s="46"/>
      <c r="CU57" s="7"/>
      <c r="CV57" s="403" t="s">
        <v>146</v>
      </c>
      <c r="CW57" s="404"/>
      <c r="CX57" s="7"/>
      <c r="CY57" s="7"/>
      <c r="CZ57" s="403" t="s">
        <v>147</v>
      </c>
      <c r="DA57" s="404"/>
      <c r="DB57" s="46"/>
      <c r="DC57" s="7"/>
      <c r="DD57" s="403" t="s">
        <v>148</v>
      </c>
      <c r="DE57" s="404"/>
      <c r="DF57" s="7"/>
      <c r="DG57" s="38"/>
      <c r="DH57" s="403" t="s">
        <v>149</v>
      </c>
      <c r="DI57" s="404"/>
      <c r="DJ57" s="7"/>
      <c r="DK57" s="7"/>
      <c r="DL57" s="403" t="s">
        <v>150</v>
      </c>
      <c r="DM57" s="404"/>
      <c r="DN57" s="46"/>
      <c r="DO57" s="38"/>
      <c r="DP57" s="403" t="s">
        <v>151</v>
      </c>
      <c r="DQ57" s="404"/>
      <c r="DR57" s="7"/>
      <c r="DS57" s="46"/>
      <c r="DT57" s="403" t="s">
        <v>152</v>
      </c>
      <c r="DU57" s="404"/>
      <c r="DV57" s="7"/>
      <c r="DW57" s="46"/>
      <c r="DX57" s="403" t="s">
        <v>153</v>
      </c>
      <c r="DY57" s="404"/>
      <c r="DZ57" s="7"/>
      <c r="EA57" s="46"/>
      <c r="EB57" s="403" t="s">
        <v>154</v>
      </c>
      <c r="EC57" s="404"/>
      <c r="ED57" s="7"/>
      <c r="EE57" s="7"/>
      <c r="EF57" s="403" t="s">
        <v>155</v>
      </c>
      <c r="EG57" s="404"/>
      <c r="EH57" s="46"/>
      <c r="EI57" s="46"/>
      <c r="EJ57" s="403" t="s">
        <v>156</v>
      </c>
      <c r="EK57" s="404"/>
      <c r="EL57" s="7"/>
      <c r="EM57" s="7"/>
      <c r="EN57" s="403" t="s">
        <v>157</v>
      </c>
      <c r="EO57" s="404"/>
      <c r="EP57" s="7"/>
      <c r="EQ57" s="46"/>
      <c r="ER57" s="403" t="s">
        <v>158</v>
      </c>
      <c r="ES57" s="404"/>
      <c r="ET57" s="7"/>
      <c r="EU57" s="7"/>
      <c r="EV57" s="403" t="s">
        <v>159</v>
      </c>
      <c r="EW57" s="404"/>
      <c r="EX57" s="38"/>
      <c r="EY57" s="7"/>
      <c r="EZ57" s="7"/>
      <c r="FA57" s="403" t="s">
        <v>160</v>
      </c>
      <c r="FB57" s="404"/>
      <c r="FC57" s="7"/>
      <c r="FD57" s="38"/>
      <c r="FE57" s="395" t="s">
        <v>161</v>
      </c>
      <c r="FF57" s="396"/>
      <c r="FG57" s="47"/>
      <c r="FH57" s="395" t="s">
        <v>162</v>
      </c>
      <c r="FI57" s="396"/>
      <c r="FJ57" s="38"/>
      <c r="FK57" s="403" t="s">
        <v>163</v>
      </c>
      <c r="FL57" s="404"/>
      <c r="FM57" s="46"/>
      <c r="FN57" s="395" t="s">
        <v>164</v>
      </c>
      <c r="FO57" s="396"/>
      <c r="FP57" s="38"/>
      <c r="FQ57" s="403" t="s">
        <v>165</v>
      </c>
      <c r="FR57" s="404"/>
      <c r="FS57" s="47"/>
      <c r="FT57" s="395" t="s">
        <v>166</v>
      </c>
      <c r="FU57" s="396"/>
      <c r="FX57" s="7"/>
      <c r="FY57" s="7"/>
      <c r="FZ57" s="7"/>
      <c r="GA57" s="7"/>
      <c r="GB57" s="7"/>
      <c r="GC57" s="7"/>
      <c r="GD57" s="2"/>
      <c r="GE57" s="57"/>
      <c r="GF57" s="178"/>
      <c r="GG57" s="7"/>
      <c r="GH57" s="7"/>
      <c r="GI57" s="7"/>
      <c r="GJ57" s="7"/>
      <c r="GK57" s="109"/>
      <c r="GL57" s="405" t="s">
        <v>167</v>
      </c>
      <c r="GM57" s="406"/>
      <c r="GN57" s="5"/>
      <c r="GO57" s="47"/>
      <c r="GP57" s="109"/>
      <c r="GQ57" s="403" t="s">
        <v>168</v>
      </c>
      <c r="GR57" s="404"/>
      <c r="GS57" s="7"/>
      <c r="GT57" s="46"/>
      <c r="GU57" s="20"/>
      <c r="GV57" s="7"/>
      <c r="GW57" s="7"/>
      <c r="GX57" s="7"/>
      <c r="GY57" s="2"/>
      <c r="GZ57" s="2"/>
      <c r="HA57" s="2"/>
      <c r="HB57" s="7"/>
      <c r="HC57" s="395" t="s">
        <v>169</v>
      </c>
      <c r="HD57" s="396"/>
      <c r="HE57" s="7"/>
      <c r="HF57" s="7"/>
      <c r="HG57" s="7"/>
      <c r="HH57" s="7"/>
      <c r="HI57" s="7"/>
      <c r="HJ57" s="7"/>
      <c r="HK57" s="7"/>
      <c r="HL57" s="2"/>
      <c r="HM57" s="2"/>
      <c r="HN57" s="395" t="s">
        <v>170</v>
      </c>
      <c r="HO57" s="396"/>
      <c r="HP57" s="2"/>
      <c r="HQ57" s="2"/>
      <c r="HR57" s="7"/>
      <c r="HS57" s="7"/>
      <c r="HT57" s="7"/>
      <c r="HU57" s="2"/>
      <c r="HV57" s="2"/>
      <c r="HW57" s="395" t="s">
        <v>171</v>
      </c>
      <c r="HX57" s="396"/>
      <c r="HY57" s="7"/>
      <c r="HZ57" s="7"/>
      <c r="IA57" s="7"/>
      <c r="IB57" s="7"/>
      <c r="IC57" s="7"/>
      <c r="ID57" s="7"/>
      <c r="IE57" s="2"/>
      <c r="IF57" s="2"/>
      <c r="IG57" s="7"/>
      <c r="IH57" s="395" t="s">
        <v>172</v>
      </c>
      <c r="II57" s="396"/>
      <c r="IJ57" s="7"/>
      <c r="IK57" s="7"/>
      <c r="IL57" s="7"/>
      <c r="IM57" s="6"/>
      <c r="IN57" s="6"/>
      <c r="IO57" s="2"/>
      <c r="IP57" s="2"/>
      <c r="IQ57" s="2"/>
      <c r="IR57" s="2"/>
      <c r="IS57" s="2"/>
      <c r="IT57" s="2"/>
      <c r="IU57" s="2"/>
      <c r="IV57" s="7"/>
      <c r="IW57" s="7"/>
      <c r="IX57" s="2"/>
      <c r="IY57" s="2"/>
      <c r="IZ57" s="395" t="s">
        <v>173</v>
      </c>
      <c r="JA57" s="396"/>
      <c r="JB57" s="2"/>
      <c r="JC57" s="2"/>
      <c r="JD57" s="2"/>
      <c r="JE57" s="7"/>
      <c r="JF57" s="7"/>
      <c r="JG57" s="7"/>
      <c r="JH57" s="7"/>
      <c r="JI57" s="7"/>
      <c r="JJ57" s="7"/>
      <c r="JK57" s="7"/>
      <c r="JL57" s="7"/>
      <c r="JM57" s="7"/>
      <c r="JN57" s="395" t="s">
        <v>174</v>
      </c>
      <c r="JO57" s="396"/>
      <c r="JP57" s="7"/>
      <c r="JQ57" s="7"/>
      <c r="JR57" s="7"/>
      <c r="JS57" s="7"/>
      <c r="JT57" s="7"/>
      <c r="JU57" s="7"/>
      <c r="JV57" s="7"/>
      <c r="JX57" s="2"/>
      <c r="JY57" s="2"/>
      <c r="JZ57" s="399" t="s">
        <v>175</v>
      </c>
      <c r="KA57" s="400"/>
      <c r="KB57" s="2"/>
      <c r="KD57" s="389" t="s">
        <v>176</v>
      </c>
      <c r="KE57" s="390"/>
      <c r="KG57" s="111"/>
      <c r="KH57" s="391" t="s">
        <v>177</v>
      </c>
      <c r="KI57" s="392"/>
      <c r="KJ57" s="62"/>
      <c r="KK57" s="391" t="s">
        <v>178</v>
      </c>
      <c r="KL57" s="392"/>
      <c r="KM57" s="25"/>
      <c r="KN57" s="401" t="s">
        <v>179</v>
      </c>
      <c r="KO57" s="402"/>
      <c r="KP57" s="62"/>
      <c r="KR57" s="38"/>
      <c r="KS57" s="391" t="s">
        <v>180</v>
      </c>
      <c r="KT57" s="392"/>
      <c r="KU57" s="179"/>
      <c r="KV57" s="391" t="s">
        <v>181</v>
      </c>
      <c r="KW57" s="392"/>
      <c r="KX57" s="25"/>
      <c r="KY57" s="391" t="s">
        <v>182</v>
      </c>
      <c r="KZ57" s="392"/>
      <c r="LA57" s="7"/>
      <c r="LB57" s="389" t="s">
        <v>183</v>
      </c>
      <c r="LC57" s="390"/>
      <c r="LD57" s="7"/>
      <c r="LE57" s="7"/>
      <c r="LF57" s="399" t="s">
        <v>184</v>
      </c>
      <c r="LG57" s="400"/>
      <c r="LI57" s="389" t="s">
        <v>185</v>
      </c>
      <c r="LJ57" s="390"/>
      <c r="LK57" s="38"/>
      <c r="LL57" s="38"/>
      <c r="LM57" s="389" t="s">
        <v>186</v>
      </c>
      <c r="LN57" s="390"/>
      <c r="LO57" s="38"/>
      <c r="LP57" s="7"/>
      <c r="LQ57" s="389" t="s">
        <v>187</v>
      </c>
      <c r="LR57" s="390"/>
      <c r="LS57" s="7"/>
      <c r="LT57" s="38"/>
      <c r="LU57" s="389" t="s">
        <v>188</v>
      </c>
      <c r="LV57" s="390"/>
      <c r="LX57" s="391" t="s">
        <v>189</v>
      </c>
      <c r="LY57" s="392"/>
      <c r="LZ57" s="62"/>
      <c r="MA57" s="5"/>
      <c r="MB57" s="389" t="s">
        <v>190</v>
      </c>
      <c r="MC57" s="390"/>
      <c r="ME57" s="395" t="s">
        <v>191</v>
      </c>
      <c r="MF57" s="396"/>
      <c r="MG57" s="7"/>
      <c r="MH57" s="7"/>
      <c r="MI57" s="395" t="s">
        <v>192</v>
      </c>
      <c r="MJ57" s="396"/>
      <c r="ML57" s="397" t="s">
        <v>76</v>
      </c>
      <c r="MM57" s="398"/>
      <c r="MN57" s="2"/>
      <c r="MO57" s="2"/>
      <c r="MP57" s="57"/>
      <c r="MQ57" s="2"/>
      <c r="MR57" s="314" t="s">
        <v>193</v>
      </c>
      <c r="MS57" s="314"/>
    </row>
    <row r="58" spans="2:357" ht="17.25" customHeight="1">
      <c r="F58" s="180"/>
      <c r="G58" s="2"/>
      <c r="H58" s="6"/>
      <c r="I58" s="6"/>
      <c r="J58" s="7"/>
      <c r="K58" s="359" t="s">
        <v>194</v>
      </c>
      <c r="L58" s="360"/>
      <c r="M58" s="7"/>
      <c r="O58" s="369" t="s">
        <v>195</v>
      </c>
      <c r="P58" s="370"/>
      <c r="Q58" s="2"/>
      <c r="R58" s="369" t="s">
        <v>196</v>
      </c>
      <c r="S58" s="370"/>
      <c r="T58" s="2"/>
      <c r="U58" s="379" t="s">
        <v>197</v>
      </c>
      <c r="V58" s="380"/>
      <c r="W58" s="381" t="s">
        <v>198</v>
      </c>
      <c r="X58" s="382"/>
      <c r="Y58" s="382"/>
      <c r="AA58" s="373" t="s">
        <v>199</v>
      </c>
      <c r="AB58" s="374"/>
      <c r="AC58" s="182"/>
      <c r="AD58" s="20"/>
      <c r="AE58" s="383" t="s">
        <v>200</v>
      </c>
      <c r="AF58" s="384"/>
      <c r="AG58" s="183"/>
      <c r="AH58" s="20"/>
      <c r="AI58" s="385" t="s">
        <v>201</v>
      </c>
      <c r="AJ58" s="386"/>
      <c r="AK58" s="182"/>
      <c r="AL58" s="387" t="s">
        <v>202</v>
      </c>
      <c r="AM58" s="388"/>
      <c r="AN58" s="182"/>
      <c r="AO58" s="373" t="s">
        <v>203</v>
      </c>
      <c r="AP58" s="374"/>
      <c r="AQ58" s="182"/>
      <c r="AR58" s="182"/>
      <c r="AS58" s="373" t="s">
        <v>204</v>
      </c>
      <c r="AT58" s="374"/>
      <c r="AU58" s="183"/>
      <c r="AV58" s="373" t="s">
        <v>205</v>
      </c>
      <c r="AW58" s="374"/>
      <c r="AX58" s="7"/>
      <c r="AY58" s="375" t="s">
        <v>206</v>
      </c>
      <c r="AZ58" s="376"/>
      <c r="BA58" s="7"/>
      <c r="BB58" s="375" t="s">
        <v>207</v>
      </c>
      <c r="BC58" s="376"/>
      <c r="BD58" s="182"/>
      <c r="BF58" s="377" t="s">
        <v>208</v>
      </c>
      <c r="BG58" s="378"/>
      <c r="BH58" s="46"/>
      <c r="BI58" s="7"/>
      <c r="BJ58" s="349" t="s">
        <v>209</v>
      </c>
      <c r="BK58" s="350"/>
      <c r="BL58" s="184"/>
      <c r="BM58" s="17"/>
      <c r="BN58" s="349" t="s">
        <v>210</v>
      </c>
      <c r="BO58" s="350"/>
      <c r="BP58" s="141"/>
      <c r="BQ58" s="141"/>
      <c r="BR58" s="349" t="s">
        <v>211</v>
      </c>
      <c r="BS58" s="350"/>
      <c r="BT58" s="141"/>
      <c r="BU58" s="141"/>
      <c r="BV58" s="349" t="s">
        <v>212</v>
      </c>
      <c r="BW58" s="350"/>
      <c r="BX58" s="46"/>
      <c r="BY58" s="46"/>
      <c r="BZ58" s="349" t="s">
        <v>213</v>
      </c>
      <c r="CA58" s="350"/>
      <c r="CB58" s="28"/>
      <c r="CC58" s="46"/>
      <c r="CD58" s="371" t="s">
        <v>214</v>
      </c>
      <c r="CE58" s="372"/>
      <c r="CF58" s="185"/>
      <c r="CG58" s="7"/>
      <c r="CH58" s="369" t="s">
        <v>215</v>
      </c>
      <c r="CI58" s="370"/>
      <c r="CJ58" s="7"/>
      <c r="CK58" s="349" t="s">
        <v>216</v>
      </c>
      <c r="CL58" s="350"/>
      <c r="CM58" s="7"/>
      <c r="CN58" s="38"/>
      <c r="CO58" s="349" t="s">
        <v>217</v>
      </c>
      <c r="CP58" s="350"/>
      <c r="CQ58" s="17"/>
      <c r="CR58" s="371" t="s">
        <v>218</v>
      </c>
      <c r="CS58" s="372"/>
      <c r="CT58" s="17"/>
      <c r="CU58" s="7"/>
      <c r="CV58" s="349" t="s">
        <v>219</v>
      </c>
      <c r="CW58" s="350"/>
      <c r="CX58" s="7"/>
      <c r="CY58" s="7"/>
      <c r="CZ58" s="349" t="s">
        <v>220</v>
      </c>
      <c r="DA58" s="350"/>
      <c r="DB58" s="17"/>
      <c r="DC58" s="7"/>
      <c r="DD58" s="349" t="s">
        <v>221</v>
      </c>
      <c r="DE58" s="350"/>
      <c r="DF58" s="28"/>
      <c r="DG58" s="38"/>
      <c r="DH58" s="349" t="s">
        <v>222</v>
      </c>
      <c r="DI58" s="350"/>
      <c r="DJ58" s="7"/>
      <c r="DK58" s="7"/>
      <c r="DL58" s="369" t="s">
        <v>223</v>
      </c>
      <c r="DM58" s="370"/>
      <c r="DN58" s="141"/>
      <c r="DO58" s="38"/>
      <c r="DP58" s="353" t="s">
        <v>224</v>
      </c>
      <c r="DQ58" s="354"/>
      <c r="DR58" s="7"/>
      <c r="DS58" s="141"/>
      <c r="DT58" s="349" t="s">
        <v>225</v>
      </c>
      <c r="DU58" s="350"/>
      <c r="DV58" s="7"/>
      <c r="DW58" s="46"/>
      <c r="DX58" s="349" t="s">
        <v>226</v>
      </c>
      <c r="DY58" s="350"/>
      <c r="DZ58" s="7"/>
      <c r="EA58" s="141"/>
      <c r="EB58" s="349" t="s">
        <v>227</v>
      </c>
      <c r="EC58" s="350"/>
      <c r="ED58" s="7"/>
      <c r="EE58" s="7"/>
      <c r="EF58" s="349" t="s">
        <v>228</v>
      </c>
      <c r="EG58" s="350"/>
      <c r="EH58" s="17"/>
      <c r="EI58" s="141"/>
      <c r="EJ58" s="349" t="s">
        <v>229</v>
      </c>
      <c r="EK58" s="350"/>
      <c r="EL58" s="186"/>
      <c r="EM58" s="7"/>
      <c r="EN58" s="359" t="s">
        <v>230</v>
      </c>
      <c r="EO58" s="360"/>
      <c r="EP58" s="7"/>
      <c r="EQ58" s="46"/>
      <c r="ER58" s="349" t="s">
        <v>231</v>
      </c>
      <c r="ES58" s="350"/>
      <c r="ET58" s="7"/>
      <c r="EU58" s="7"/>
      <c r="EV58" s="349" t="s">
        <v>232</v>
      </c>
      <c r="EW58" s="350"/>
      <c r="EX58" s="38"/>
      <c r="EY58" s="7"/>
      <c r="EZ58" s="7"/>
      <c r="FA58" s="361" t="s">
        <v>233</v>
      </c>
      <c r="FB58" s="362"/>
      <c r="FC58" s="97"/>
      <c r="FD58" s="23"/>
      <c r="FE58" s="363" t="s">
        <v>234</v>
      </c>
      <c r="FF58" s="364"/>
      <c r="FG58" s="7"/>
      <c r="FH58" s="365" t="s">
        <v>235</v>
      </c>
      <c r="FI58" s="366"/>
      <c r="FJ58" s="7"/>
      <c r="FK58" s="367" t="s">
        <v>236</v>
      </c>
      <c r="FL58" s="368"/>
      <c r="FM58" s="49"/>
      <c r="FN58" s="367" t="s">
        <v>237</v>
      </c>
      <c r="FO58" s="368"/>
      <c r="FP58" s="38"/>
      <c r="FQ58" s="353" t="s">
        <v>238</v>
      </c>
      <c r="FR58" s="354"/>
      <c r="FS58" s="187"/>
      <c r="FT58" s="355" t="s">
        <v>239</v>
      </c>
      <c r="FU58" s="356"/>
      <c r="FX58" s="7"/>
      <c r="FY58" s="7"/>
      <c r="FZ58" s="7"/>
      <c r="GA58" s="7"/>
      <c r="GB58" s="7"/>
      <c r="GC58" s="7"/>
      <c r="GD58" s="2"/>
      <c r="GE58" s="57"/>
      <c r="GF58" s="46"/>
      <c r="GG58" s="7"/>
      <c r="GH58" s="7"/>
      <c r="GI58" s="7"/>
      <c r="GJ58" s="7"/>
      <c r="GK58" s="5"/>
      <c r="GL58" s="357" t="s">
        <v>240</v>
      </c>
      <c r="GM58" s="358"/>
      <c r="GN58" s="5"/>
      <c r="GO58" s="47"/>
      <c r="GP58" s="109"/>
      <c r="GQ58" s="359" t="s">
        <v>241</v>
      </c>
      <c r="GR58" s="360"/>
      <c r="GS58" s="7"/>
      <c r="GT58" s="131"/>
      <c r="GU58" s="20"/>
      <c r="GV58" s="7"/>
      <c r="GW58" s="7"/>
      <c r="GX58" s="7"/>
      <c r="GY58" s="2"/>
      <c r="GZ58" s="2"/>
      <c r="HA58" s="2"/>
      <c r="HB58" s="28"/>
      <c r="HC58" s="351" t="s">
        <v>242</v>
      </c>
      <c r="HD58" s="352"/>
      <c r="HE58" s="28"/>
      <c r="HF58" s="7"/>
      <c r="HG58" s="7"/>
      <c r="HH58" s="7"/>
      <c r="HI58" s="7"/>
      <c r="HJ58" s="7"/>
      <c r="HK58" s="7"/>
      <c r="HL58" s="2"/>
      <c r="HM58" s="2"/>
      <c r="HN58" s="351" t="s">
        <v>243</v>
      </c>
      <c r="HO58" s="352"/>
      <c r="HP58" s="2"/>
      <c r="HQ58" s="2"/>
      <c r="HR58" s="29"/>
      <c r="HS58" s="7"/>
      <c r="HT58" s="7"/>
      <c r="HU58" s="2"/>
      <c r="HV58" s="2"/>
      <c r="HW58" s="351" t="s">
        <v>244</v>
      </c>
      <c r="HX58" s="352"/>
      <c r="HY58" s="7"/>
      <c r="HZ58" s="7"/>
      <c r="IA58" s="7"/>
      <c r="IB58" s="7"/>
      <c r="IC58" s="7"/>
      <c r="ID58" s="7"/>
      <c r="IE58" s="2"/>
      <c r="IF58" s="2"/>
      <c r="IG58" s="7"/>
      <c r="IH58" s="351" t="s">
        <v>245</v>
      </c>
      <c r="II58" s="352"/>
      <c r="IJ58" s="7"/>
      <c r="IK58" s="7"/>
      <c r="IL58" s="7"/>
      <c r="IM58" s="6"/>
      <c r="IN58" s="6"/>
      <c r="IO58" s="2"/>
      <c r="IP58" s="2"/>
      <c r="IQ58" s="2"/>
      <c r="IR58" s="2"/>
      <c r="IS58" s="2"/>
      <c r="IT58" s="2"/>
      <c r="IU58" s="2"/>
      <c r="IV58" s="7"/>
      <c r="IW58" s="7"/>
      <c r="IX58" s="2"/>
      <c r="IY58" s="2"/>
      <c r="IZ58" s="353" t="s">
        <v>246</v>
      </c>
      <c r="JA58" s="354"/>
      <c r="JB58" s="2"/>
      <c r="JC58" s="2"/>
      <c r="JD58" s="2"/>
      <c r="JE58" s="7"/>
      <c r="JF58" s="7"/>
      <c r="JG58" s="7"/>
      <c r="JH58" s="7"/>
      <c r="JI58" s="7"/>
      <c r="JJ58" s="7"/>
      <c r="JK58" s="7"/>
      <c r="JL58" s="188"/>
      <c r="JM58" s="188"/>
      <c r="JN58" s="353" t="s">
        <v>247</v>
      </c>
      <c r="JO58" s="354"/>
      <c r="JP58" s="28"/>
      <c r="JQ58" s="28"/>
      <c r="JR58" s="28"/>
      <c r="JS58" s="28"/>
      <c r="JT58" s="28"/>
      <c r="JU58" s="28"/>
      <c r="JV58" s="28"/>
      <c r="JX58" s="2"/>
      <c r="JY58" s="2"/>
      <c r="JZ58" s="353" t="s">
        <v>248</v>
      </c>
      <c r="KA58" s="354"/>
      <c r="KB58" s="2"/>
      <c r="KD58" s="347" t="s">
        <v>249</v>
      </c>
      <c r="KE58" s="348"/>
      <c r="KG58" s="111"/>
      <c r="KH58" s="347" t="s">
        <v>250</v>
      </c>
      <c r="KI58" s="348"/>
      <c r="KJ58" s="62"/>
      <c r="KK58" s="347" t="s">
        <v>251</v>
      </c>
      <c r="KL58" s="348"/>
      <c r="KM58" s="25"/>
      <c r="KN58" s="347" t="s">
        <v>252</v>
      </c>
      <c r="KO58" s="348"/>
      <c r="KP58" s="62"/>
      <c r="KR58" s="38"/>
      <c r="KS58" s="347" t="s">
        <v>253</v>
      </c>
      <c r="KT58" s="348"/>
      <c r="KU58" s="25"/>
      <c r="KV58" s="347" t="s">
        <v>254</v>
      </c>
      <c r="KW58" s="348"/>
      <c r="KX58" s="25"/>
      <c r="KY58" s="351" t="s">
        <v>255</v>
      </c>
      <c r="KZ58" s="352"/>
      <c r="LA58" s="7"/>
      <c r="LB58" s="351" t="s">
        <v>256</v>
      </c>
      <c r="LC58" s="352"/>
      <c r="LD58" s="7"/>
      <c r="LE58" s="7"/>
      <c r="LF58" s="347" t="s">
        <v>257</v>
      </c>
      <c r="LG58" s="348"/>
      <c r="LI58" s="349" t="s">
        <v>258</v>
      </c>
      <c r="LJ58" s="350"/>
      <c r="LK58" s="2"/>
      <c r="LL58" s="38"/>
      <c r="LM58" s="349" t="s">
        <v>258</v>
      </c>
      <c r="LN58" s="350"/>
      <c r="LO58" s="38"/>
      <c r="LP58" s="7"/>
      <c r="LQ58" s="349" t="s">
        <v>259</v>
      </c>
      <c r="LR58" s="350"/>
      <c r="LS58" s="189"/>
      <c r="LT58" s="38"/>
      <c r="LU58" s="349" t="s">
        <v>260</v>
      </c>
      <c r="LV58" s="350"/>
      <c r="LX58" s="393"/>
      <c r="LY58" s="394"/>
      <c r="LZ58" s="62"/>
      <c r="MA58" s="5"/>
      <c r="MB58" s="347" t="s">
        <v>261</v>
      </c>
      <c r="MC58" s="348"/>
      <c r="ME58" s="351" t="s">
        <v>262</v>
      </c>
      <c r="MF58" s="352"/>
      <c r="MG58" s="7"/>
      <c r="MH58" s="7"/>
      <c r="MI58" s="349" t="s">
        <v>263</v>
      </c>
      <c r="MJ58" s="350"/>
      <c r="ML58" s="351" t="s">
        <v>264</v>
      </c>
      <c r="MM58" s="352"/>
      <c r="MN58" s="2"/>
      <c r="MO58" s="2"/>
      <c r="MP58" s="57"/>
      <c r="MQ58" s="2"/>
      <c r="MR58" s="2"/>
      <c r="MS58" s="2"/>
    </row>
    <row r="59" spans="2:357" ht="17.25" customHeight="1">
      <c r="F59" s="190"/>
      <c r="G59" s="6"/>
      <c r="H59" s="2"/>
      <c r="I59" s="2"/>
      <c r="J59" s="2"/>
      <c r="K59" s="47"/>
      <c r="L59" s="45">
        <v>2</v>
      </c>
      <c r="M59" s="7"/>
      <c r="O59" s="7"/>
      <c r="P59" s="43">
        <v>2</v>
      </c>
      <c r="Q59" s="2"/>
      <c r="R59" s="7"/>
      <c r="S59" s="43">
        <v>2</v>
      </c>
      <c r="T59" s="2"/>
      <c r="U59" s="7"/>
      <c r="V59" s="43">
        <v>2</v>
      </c>
      <c r="W59" s="181"/>
      <c r="X59" s="124"/>
      <c r="Y59" s="124"/>
      <c r="AA59" s="42"/>
      <c r="AB59" s="45">
        <v>12</v>
      </c>
      <c r="AC59" s="130"/>
      <c r="AD59" s="191"/>
      <c r="AE59" s="130"/>
      <c r="AF59" s="45">
        <v>11</v>
      </c>
      <c r="AG59" s="130"/>
      <c r="AH59" s="71"/>
      <c r="AI59" s="83"/>
      <c r="AJ59" s="45">
        <v>8</v>
      </c>
      <c r="AK59" s="130"/>
      <c r="AL59" s="192"/>
      <c r="AM59" s="45">
        <v>10</v>
      </c>
      <c r="AN59" s="130"/>
      <c r="AO59" s="130"/>
      <c r="AP59" s="45">
        <v>8</v>
      </c>
      <c r="AQ59" s="130"/>
      <c r="AR59" s="130"/>
      <c r="AS59" s="130"/>
      <c r="AT59" s="45">
        <v>10</v>
      </c>
      <c r="AU59" s="130"/>
      <c r="AV59" s="192"/>
      <c r="AW59" s="45">
        <v>11</v>
      </c>
      <c r="AX59" s="7"/>
      <c r="AY59" s="192"/>
      <c r="AZ59" s="45">
        <v>5</v>
      </c>
      <c r="BA59" s="7"/>
      <c r="BB59" s="7"/>
      <c r="BC59" s="193">
        <v>2</v>
      </c>
      <c r="BD59" s="130"/>
      <c r="BF59" s="46"/>
      <c r="BG59" s="43">
        <v>7</v>
      </c>
      <c r="BH59" s="46"/>
      <c r="BI59" s="7"/>
      <c r="BJ59" s="46"/>
      <c r="BK59" s="43">
        <v>4</v>
      </c>
      <c r="BL59" s="46"/>
      <c r="BM59" s="46"/>
      <c r="BN59" s="46"/>
      <c r="BO59" s="43">
        <v>4</v>
      </c>
      <c r="BP59" s="46"/>
      <c r="BQ59" s="46"/>
      <c r="BR59" s="46"/>
      <c r="BS59" s="43">
        <v>4</v>
      </c>
      <c r="BT59" s="46"/>
      <c r="BU59" s="46"/>
      <c r="BV59" s="49"/>
      <c r="BW59" s="43">
        <v>7</v>
      </c>
      <c r="BX59" s="46"/>
      <c r="BY59" s="46"/>
      <c r="BZ59" s="49"/>
      <c r="CA59" s="43">
        <v>4</v>
      </c>
      <c r="CB59" s="7"/>
      <c r="CC59" s="46"/>
      <c r="CD59" s="49"/>
      <c r="CE59" s="43">
        <v>4</v>
      </c>
      <c r="CF59" s="46"/>
      <c r="CG59" s="7"/>
      <c r="CH59" s="46"/>
      <c r="CI59" s="43">
        <v>3</v>
      </c>
      <c r="CJ59" s="7"/>
      <c r="CK59" s="46"/>
      <c r="CL59" s="43">
        <v>9</v>
      </c>
      <c r="CM59" s="7"/>
      <c r="CN59" s="2"/>
      <c r="CO59" s="194"/>
      <c r="CP59" s="72">
        <v>5</v>
      </c>
      <c r="CQ59" s="46"/>
      <c r="CR59" s="46"/>
      <c r="CS59" s="43">
        <v>7</v>
      </c>
      <c r="CT59" s="46"/>
      <c r="CU59" s="7"/>
      <c r="CV59" s="46"/>
      <c r="CW59" s="43">
        <v>3</v>
      </c>
      <c r="CX59" s="7"/>
      <c r="CY59" s="7"/>
      <c r="CZ59" s="46"/>
      <c r="DA59" s="43">
        <v>6</v>
      </c>
      <c r="DB59" s="46"/>
      <c r="DC59" s="7"/>
      <c r="DD59" s="194"/>
      <c r="DE59" s="43">
        <v>4</v>
      </c>
      <c r="DF59" s="7"/>
      <c r="DG59" s="2"/>
      <c r="DH59" s="46"/>
      <c r="DI59" s="43">
        <v>3</v>
      </c>
      <c r="DJ59" s="7"/>
      <c r="DK59" s="7"/>
      <c r="DL59" s="46"/>
      <c r="DM59" s="43">
        <v>5</v>
      </c>
      <c r="DN59" s="46"/>
      <c r="DO59" s="2"/>
      <c r="DP59" s="46"/>
      <c r="DQ59" s="43">
        <v>7</v>
      </c>
      <c r="DR59" s="7"/>
      <c r="DS59" s="46"/>
      <c r="DT59" s="49"/>
      <c r="DU59" s="43">
        <v>7</v>
      </c>
      <c r="DV59" s="7"/>
      <c r="DW59" s="195"/>
      <c r="DX59" s="194"/>
      <c r="DY59" s="43">
        <v>3</v>
      </c>
      <c r="DZ59" s="7"/>
      <c r="EA59" s="46"/>
      <c r="EB59" s="196"/>
      <c r="EC59" s="43">
        <v>6</v>
      </c>
      <c r="ED59" s="7"/>
      <c r="EE59" s="7"/>
      <c r="EF59" s="196"/>
      <c r="EG59" s="43">
        <v>4</v>
      </c>
      <c r="EH59" s="46"/>
      <c r="EI59" s="46"/>
      <c r="EJ59" s="46"/>
      <c r="EK59" s="43">
        <v>7</v>
      </c>
      <c r="EL59" s="7"/>
      <c r="EM59" s="7"/>
      <c r="EN59" s="46"/>
      <c r="EO59" s="43">
        <v>3</v>
      </c>
      <c r="EP59" s="7"/>
      <c r="EQ59" s="46"/>
      <c r="ER59" s="196"/>
      <c r="ES59" s="43">
        <v>4</v>
      </c>
      <c r="ET59" s="7"/>
      <c r="EU59" s="7"/>
      <c r="EV59" s="196"/>
      <c r="EW59" s="43">
        <v>3</v>
      </c>
      <c r="EX59" s="2"/>
      <c r="EY59" s="6"/>
      <c r="EZ59" s="2"/>
      <c r="FA59" s="2"/>
      <c r="FB59" s="72">
        <v>6</v>
      </c>
      <c r="FC59" s="2"/>
      <c r="FD59" s="2"/>
      <c r="FE59" s="68"/>
      <c r="FF59" s="72">
        <v>4</v>
      </c>
      <c r="FG59" s="7"/>
      <c r="FH59" s="7"/>
      <c r="FI59" s="72">
        <v>4</v>
      </c>
      <c r="FJ59" s="68"/>
      <c r="FK59" s="197"/>
      <c r="FL59" s="72">
        <v>6</v>
      </c>
      <c r="FM59" s="197"/>
      <c r="FN59" s="68"/>
      <c r="FO59" s="72">
        <v>4</v>
      </c>
      <c r="FP59" s="68"/>
      <c r="FQ59" s="68"/>
      <c r="FR59" s="72">
        <v>5</v>
      </c>
      <c r="FS59" s="7"/>
      <c r="FT59" s="35"/>
      <c r="FU59" s="72">
        <v>3</v>
      </c>
      <c r="FX59" s="7"/>
      <c r="FY59" s="12"/>
      <c r="FZ59" s="13"/>
      <c r="GA59" s="18"/>
      <c r="GB59" s="13"/>
      <c r="GC59" s="13"/>
      <c r="GD59" s="18"/>
      <c r="GE59" s="53"/>
      <c r="GF59" s="53"/>
      <c r="GG59" s="18"/>
      <c r="GH59" s="13"/>
      <c r="GI59" s="41"/>
      <c r="GJ59" s="47"/>
      <c r="GK59" s="5"/>
      <c r="GL59" s="7"/>
      <c r="GM59" s="72">
        <v>5</v>
      </c>
      <c r="GN59" s="7"/>
      <c r="GO59" s="7"/>
      <c r="GP59" s="7"/>
      <c r="GQ59" s="18"/>
      <c r="GR59" s="198">
        <v>5</v>
      </c>
      <c r="GS59" s="7"/>
      <c r="GT59" s="46"/>
      <c r="GU59" s="20"/>
      <c r="GV59" s="7"/>
      <c r="GW59" s="7"/>
      <c r="GX59" s="7"/>
      <c r="GY59" s="7"/>
      <c r="GZ59" s="7"/>
      <c r="HA59" s="7"/>
      <c r="HB59" s="7"/>
      <c r="HC59" s="7"/>
      <c r="HD59" s="199">
        <v>27</v>
      </c>
      <c r="HE59" s="7"/>
      <c r="HF59" s="7"/>
      <c r="HG59" s="7"/>
      <c r="HH59" s="7"/>
      <c r="HI59" s="7"/>
      <c r="HJ59" s="7"/>
      <c r="HK59" s="7"/>
      <c r="HL59" s="2"/>
      <c r="HM59" s="2"/>
      <c r="HN59" s="7"/>
      <c r="HO59" s="199">
        <v>21</v>
      </c>
      <c r="HP59" s="2"/>
      <c r="HQ59" s="2"/>
      <c r="HR59" s="7"/>
      <c r="HS59" s="7"/>
      <c r="HT59" s="7"/>
      <c r="HU59" s="2"/>
      <c r="HV59" s="2"/>
      <c r="HW59" s="7"/>
      <c r="HX59" s="199">
        <v>11</v>
      </c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200">
        <v>34</v>
      </c>
      <c r="IJ59" s="7"/>
      <c r="IK59" s="7"/>
      <c r="IL59" s="7"/>
      <c r="IM59" s="6"/>
      <c r="IN59" s="6"/>
      <c r="IO59" s="2"/>
      <c r="IP59" s="2"/>
      <c r="IQ59" s="2"/>
      <c r="IR59" s="2"/>
      <c r="IS59" s="2"/>
      <c r="IT59" s="2"/>
      <c r="IU59" s="2"/>
      <c r="IV59" s="7"/>
      <c r="IW59" s="7"/>
      <c r="IX59" s="2"/>
      <c r="IY59" s="2"/>
      <c r="IZ59" s="7"/>
      <c r="JA59" s="199">
        <v>30</v>
      </c>
      <c r="JB59" s="2"/>
      <c r="JC59" s="7"/>
      <c r="JD59" s="2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199">
        <v>11</v>
      </c>
      <c r="JP59" s="7"/>
      <c r="JQ59" s="7"/>
      <c r="JR59" s="7"/>
      <c r="JS59" s="7"/>
      <c r="JT59" s="7"/>
      <c r="JU59" s="7"/>
      <c r="JV59" s="7"/>
      <c r="JX59" s="2"/>
      <c r="JY59" s="2"/>
      <c r="JZ59" s="2"/>
      <c r="KA59" s="200">
        <v>9</v>
      </c>
      <c r="KB59" s="2"/>
      <c r="KD59" s="7"/>
      <c r="KE59" s="200">
        <v>3</v>
      </c>
      <c r="KG59" s="62"/>
      <c r="KH59" s="201"/>
      <c r="KI59" s="44">
        <v>5</v>
      </c>
      <c r="KJ59" s="25"/>
      <c r="KK59" s="38"/>
      <c r="KL59" s="44">
        <v>4</v>
      </c>
      <c r="KM59" s="25"/>
      <c r="KN59" s="62"/>
      <c r="KO59" s="44">
        <v>10</v>
      </c>
      <c r="KP59" s="62"/>
      <c r="KR59" s="38"/>
      <c r="KS59" s="51"/>
      <c r="KT59" s="44">
        <v>2</v>
      </c>
      <c r="KU59" s="62"/>
      <c r="KV59" s="1"/>
      <c r="KW59" s="44">
        <v>2</v>
      </c>
      <c r="KX59" s="62"/>
      <c r="KY59" s="18"/>
      <c r="KZ59" s="44">
        <v>3</v>
      </c>
      <c r="LA59" s="7"/>
      <c r="LB59" s="18"/>
      <c r="LC59" s="44">
        <v>4</v>
      </c>
      <c r="LD59" s="7"/>
      <c r="LE59" s="7"/>
      <c r="LF59" s="13"/>
      <c r="LG59" s="44">
        <v>4</v>
      </c>
      <c r="LI59" s="38"/>
      <c r="LJ59" s="3">
        <v>2</v>
      </c>
      <c r="LK59" s="38"/>
      <c r="LL59" s="38"/>
      <c r="LM59" s="7"/>
      <c r="LN59" s="3">
        <v>2</v>
      </c>
      <c r="LO59" s="38"/>
      <c r="LP59" s="7"/>
      <c r="LQ59" s="179"/>
      <c r="LR59" s="202">
        <v>3</v>
      </c>
      <c r="LS59" s="7"/>
      <c r="LT59" s="38"/>
      <c r="LU59" s="179"/>
      <c r="LV59" s="202">
        <v>4</v>
      </c>
      <c r="LX59" s="8"/>
      <c r="LY59" s="44">
        <v>4</v>
      </c>
      <c r="LZ59" s="25"/>
      <c r="MA59" s="5"/>
      <c r="MB59" s="203"/>
      <c r="MC59" s="204">
        <v>3</v>
      </c>
      <c r="ME59" s="7"/>
      <c r="MF59" s="99">
        <v>3</v>
      </c>
      <c r="MG59" s="7"/>
      <c r="MH59" s="7"/>
      <c r="MI59" s="7"/>
      <c r="MJ59" s="99">
        <v>3</v>
      </c>
      <c r="ML59" s="7"/>
      <c r="MM59" s="3">
        <v>2</v>
      </c>
      <c r="MN59" s="2"/>
      <c r="MO59" s="2"/>
      <c r="MP59" s="57"/>
      <c r="MQ59" s="2"/>
      <c r="MR59" s="2"/>
      <c r="MS59" s="2"/>
    </row>
    <row r="60" spans="2:357" ht="17.25" customHeight="1">
      <c r="F60" s="180"/>
      <c r="G60" s="2"/>
      <c r="H60" s="2"/>
      <c r="I60" s="2"/>
      <c r="J60" s="2"/>
      <c r="K60" s="47"/>
      <c r="L60" s="296">
        <v>2</v>
      </c>
      <c r="M60" s="7"/>
      <c r="O60" s="7"/>
      <c r="P60" s="297">
        <v>2</v>
      </c>
      <c r="Q60" s="2"/>
      <c r="R60" s="7"/>
      <c r="S60" s="297">
        <v>2</v>
      </c>
      <c r="T60" s="2"/>
      <c r="U60" s="7"/>
      <c r="V60" s="297">
        <v>2</v>
      </c>
      <c r="W60" s="38"/>
      <c r="X60" s="38"/>
      <c r="Y60" s="38"/>
      <c r="AA60" s="93"/>
      <c r="AB60" s="298">
        <v>12</v>
      </c>
      <c r="AC60" s="29"/>
      <c r="AD60" s="29"/>
      <c r="AE60" s="29"/>
      <c r="AF60" s="298">
        <v>11</v>
      </c>
      <c r="AG60" s="29"/>
      <c r="AH60" s="29"/>
      <c r="AI60" s="205"/>
      <c r="AJ60" s="298">
        <v>8</v>
      </c>
      <c r="AK60" s="29"/>
      <c r="AL60" s="205"/>
      <c r="AM60" s="298">
        <v>10</v>
      </c>
      <c r="AN60" s="29"/>
      <c r="AO60" s="29"/>
      <c r="AP60" s="298">
        <v>8</v>
      </c>
      <c r="AQ60" s="29"/>
      <c r="AR60" s="29"/>
      <c r="AS60" s="29"/>
      <c r="AT60" s="298">
        <v>10</v>
      </c>
      <c r="AU60" s="29"/>
      <c r="AV60" s="205"/>
      <c r="AW60" s="298">
        <v>11</v>
      </c>
      <c r="AX60" s="7"/>
      <c r="AY60" s="205"/>
      <c r="AZ60" s="298">
        <v>5</v>
      </c>
      <c r="BA60" s="7"/>
      <c r="BB60" s="130"/>
      <c r="BC60" s="298">
        <v>2</v>
      </c>
      <c r="BD60" s="20"/>
      <c r="BF60" s="46"/>
      <c r="BG60" s="297">
        <v>9</v>
      </c>
      <c r="BH60" s="46"/>
      <c r="BI60" s="7"/>
      <c r="BJ60" s="68"/>
      <c r="BK60" s="297">
        <v>10</v>
      </c>
      <c r="BL60" s="46"/>
      <c r="BM60" s="46"/>
      <c r="BN60" s="68"/>
      <c r="BO60" s="297">
        <v>7</v>
      </c>
      <c r="BP60" s="46"/>
      <c r="BQ60" s="46"/>
      <c r="BR60" s="68"/>
      <c r="BS60" s="297">
        <v>7</v>
      </c>
      <c r="BT60" s="46"/>
      <c r="BU60" s="46"/>
      <c r="BV60" s="46"/>
      <c r="BW60" s="297">
        <v>10</v>
      </c>
      <c r="BX60" s="46"/>
      <c r="BY60" s="46"/>
      <c r="BZ60" s="46"/>
      <c r="CA60" s="297">
        <v>5</v>
      </c>
      <c r="CB60" s="7"/>
      <c r="CC60" s="46"/>
      <c r="CD60" s="46"/>
      <c r="CE60" s="297">
        <v>5</v>
      </c>
      <c r="CF60" s="46"/>
      <c r="CG60" s="7"/>
      <c r="CH60" s="46"/>
      <c r="CI60" s="297">
        <v>5</v>
      </c>
      <c r="CJ60" s="7"/>
      <c r="CK60" s="46"/>
      <c r="CL60" s="297">
        <v>12</v>
      </c>
      <c r="CM60" s="7"/>
      <c r="CN60" s="2"/>
      <c r="CO60" s="158"/>
      <c r="CP60" s="299">
        <v>5</v>
      </c>
      <c r="CQ60" s="46"/>
      <c r="CR60" s="68"/>
      <c r="CS60" s="297">
        <v>11</v>
      </c>
      <c r="CT60" s="46"/>
      <c r="CU60" s="7"/>
      <c r="CV60" s="46"/>
      <c r="CW60" s="297">
        <v>6</v>
      </c>
      <c r="CX60" s="7"/>
      <c r="CY60" s="7"/>
      <c r="CZ60" s="46"/>
      <c r="DA60" s="297">
        <v>6</v>
      </c>
      <c r="DB60" s="46"/>
      <c r="DC60" s="7"/>
      <c r="DD60" s="158"/>
      <c r="DE60" s="297">
        <v>7</v>
      </c>
      <c r="DF60" s="7"/>
      <c r="DG60" s="2"/>
      <c r="DH60" s="46"/>
      <c r="DI60" s="297">
        <v>5</v>
      </c>
      <c r="DJ60" s="7"/>
      <c r="DK60" s="7"/>
      <c r="DL60" s="46"/>
      <c r="DM60" s="297">
        <v>7</v>
      </c>
      <c r="DN60" s="46"/>
      <c r="DO60" s="2"/>
      <c r="DP60" s="46"/>
      <c r="DQ60" s="297">
        <v>7</v>
      </c>
      <c r="DR60" s="7"/>
      <c r="DS60" s="46"/>
      <c r="DT60" s="46"/>
      <c r="DU60" s="297">
        <v>8</v>
      </c>
      <c r="DV60" s="7"/>
      <c r="DW60" s="46"/>
      <c r="DX60" s="158"/>
      <c r="DY60" s="297">
        <v>5</v>
      </c>
      <c r="DZ60" s="7"/>
      <c r="EA60" s="46"/>
      <c r="EB60" s="158"/>
      <c r="EC60" s="299">
        <v>6</v>
      </c>
      <c r="ED60" s="7"/>
      <c r="EE60" s="7"/>
      <c r="EF60" s="158"/>
      <c r="EG60" s="299">
        <v>5</v>
      </c>
      <c r="EH60" s="46"/>
      <c r="EI60" s="46"/>
      <c r="EJ60" s="46"/>
      <c r="EK60" s="297">
        <v>10</v>
      </c>
      <c r="EL60" s="7"/>
      <c r="EM60" s="7"/>
      <c r="EN60" s="46"/>
      <c r="EO60" s="297">
        <v>5</v>
      </c>
      <c r="EP60" s="7"/>
      <c r="EQ60" s="46"/>
      <c r="ER60" s="158"/>
      <c r="ES60" s="297">
        <v>7</v>
      </c>
      <c r="ET60" s="7"/>
      <c r="EU60" s="7"/>
      <c r="EV60" s="158"/>
      <c r="EW60" s="297">
        <v>3</v>
      </c>
      <c r="EX60" s="2"/>
      <c r="EY60" s="2"/>
      <c r="EZ60" s="2"/>
      <c r="FA60" s="2"/>
      <c r="FB60" s="297">
        <v>7</v>
      </c>
      <c r="FC60" s="2"/>
      <c r="FD60" s="2"/>
      <c r="FE60" s="2"/>
      <c r="FF60" s="297">
        <v>4</v>
      </c>
      <c r="FG60" s="7"/>
      <c r="FH60" s="7"/>
      <c r="FI60" s="297">
        <v>7</v>
      </c>
      <c r="FJ60" s="2"/>
      <c r="FL60" s="297">
        <v>8</v>
      </c>
      <c r="FN60" s="2"/>
      <c r="FO60" s="297">
        <v>5</v>
      </c>
      <c r="FP60" s="2"/>
      <c r="FQ60" s="2"/>
      <c r="FR60" s="297">
        <v>5</v>
      </c>
      <c r="FS60" s="7"/>
      <c r="FT60" s="2"/>
      <c r="FU60" s="297">
        <v>5</v>
      </c>
      <c r="FX60" s="314" t="s">
        <v>265</v>
      </c>
      <c r="FY60" s="314"/>
      <c r="FZ60" s="20"/>
      <c r="GA60" s="314" t="s">
        <v>816</v>
      </c>
      <c r="GB60" s="314"/>
      <c r="GC60" s="20"/>
      <c r="GD60" s="314" t="s">
        <v>266</v>
      </c>
      <c r="GE60" s="314"/>
      <c r="GF60" s="7"/>
      <c r="GG60" s="314" t="s">
        <v>267</v>
      </c>
      <c r="GH60" s="314"/>
      <c r="GI60" s="314" t="s">
        <v>268</v>
      </c>
      <c r="GJ60" s="314"/>
      <c r="GK60" s="5"/>
      <c r="GL60" s="7"/>
      <c r="GM60" s="297">
        <v>5</v>
      </c>
      <c r="GN60" s="7"/>
      <c r="GO60" s="7"/>
      <c r="GP60" s="7"/>
      <c r="GQ60" s="19"/>
      <c r="GR60" s="296">
        <v>5</v>
      </c>
      <c r="GS60" s="7"/>
      <c r="GT60" s="20"/>
      <c r="GU60" s="20"/>
      <c r="GV60" s="7"/>
      <c r="GW60" s="7"/>
      <c r="GX60" s="7"/>
      <c r="GY60" s="7"/>
      <c r="GZ60" s="7"/>
      <c r="HA60" s="7"/>
      <c r="HB60" s="7"/>
      <c r="HC60" s="19"/>
      <c r="HD60" s="302">
        <v>27</v>
      </c>
      <c r="HE60" s="7"/>
      <c r="HF60" s="7"/>
      <c r="HG60" s="7"/>
      <c r="HH60" s="7"/>
      <c r="HI60" s="7"/>
      <c r="HJ60" s="7"/>
      <c r="HK60" s="7"/>
      <c r="HL60" s="2"/>
      <c r="HM60" s="2"/>
      <c r="HN60" s="7"/>
      <c r="HO60" s="296">
        <v>21</v>
      </c>
      <c r="HP60" s="2"/>
      <c r="HQ60" s="2"/>
      <c r="HR60" s="7"/>
      <c r="HS60" s="7"/>
      <c r="HT60" s="7"/>
      <c r="HU60" s="2"/>
      <c r="HV60" s="2"/>
      <c r="HW60" s="19"/>
      <c r="HX60" s="303">
        <v>11</v>
      </c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304">
        <v>34</v>
      </c>
      <c r="IJ60" s="7"/>
      <c r="IK60" s="7"/>
      <c r="IL60" s="7"/>
      <c r="IM60" s="6"/>
      <c r="IN60" s="6"/>
      <c r="IO60" s="2"/>
      <c r="IP60" s="2"/>
      <c r="IQ60" s="2"/>
      <c r="IR60" s="2"/>
      <c r="IS60" s="2"/>
      <c r="IT60" s="2"/>
      <c r="IU60" s="2"/>
      <c r="IV60" s="7"/>
      <c r="IW60" s="7"/>
      <c r="IX60" s="2"/>
      <c r="IY60" s="2"/>
      <c r="IZ60" s="7"/>
      <c r="JA60" s="296">
        <v>30</v>
      </c>
      <c r="JB60" s="2"/>
      <c r="JC60" s="7"/>
      <c r="JD60" s="2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304">
        <v>11</v>
      </c>
      <c r="JP60" s="7"/>
      <c r="JQ60" s="7"/>
      <c r="JR60" s="7"/>
      <c r="JS60" s="7"/>
      <c r="JT60" s="7"/>
      <c r="JU60" s="7"/>
      <c r="JV60" s="7"/>
      <c r="JX60" s="2"/>
      <c r="JY60" s="6"/>
      <c r="JZ60" s="6"/>
      <c r="KA60" s="305">
        <v>9</v>
      </c>
      <c r="KB60" s="6"/>
      <c r="KD60" s="62"/>
      <c r="KE60" s="305">
        <v>3</v>
      </c>
      <c r="KG60" s="62"/>
      <c r="KH60" s="201"/>
      <c r="KI60" s="305">
        <v>5</v>
      </c>
      <c r="KJ60" s="25"/>
      <c r="KK60" s="38"/>
      <c r="KL60" s="305">
        <v>4</v>
      </c>
      <c r="KM60" s="25"/>
      <c r="KN60" s="62"/>
      <c r="KO60" s="305">
        <v>10</v>
      </c>
      <c r="KP60" s="62"/>
      <c r="KR60" s="38"/>
      <c r="KS60" s="179"/>
      <c r="KT60" s="307">
        <v>2</v>
      </c>
      <c r="KU60" s="25"/>
      <c r="KV60" s="179"/>
      <c r="KW60" s="307">
        <v>2</v>
      </c>
      <c r="KX60" s="25"/>
      <c r="KY60" s="19"/>
      <c r="KZ60" s="307">
        <v>3</v>
      </c>
      <c r="LA60" s="7"/>
      <c r="LB60" s="19"/>
      <c r="LC60" s="307">
        <v>4</v>
      </c>
      <c r="LD60" s="7"/>
      <c r="LE60" s="7"/>
      <c r="LF60" s="7"/>
      <c r="LG60" s="305">
        <v>4</v>
      </c>
      <c r="LI60" s="38"/>
      <c r="LJ60" s="305">
        <v>2</v>
      </c>
      <c r="LK60" s="38"/>
      <c r="LL60" s="38"/>
      <c r="LM60" s="62"/>
      <c r="LN60" s="305">
        <v>2</v>
      </c>
      <c r="LO60" s="38"/>
      <c r="LP60" s="7"/>
      <c r="LQ60" s="25"/>
      <c r="LR60" s="305">
        <v>3</v>
      </c>
      <c r="LS60" s="7"/>
      <c r="LT60" s="38"/>
      <c r="LU60" s="179"/>
      <c r="LV60" s="307">
        <v>4</v>
      </c>
      <c r="LX60" s="62"/>
      <c r="LY60" s="305">
        <v>4</v>
      </c>
      <c r="LZ60" s="25"/>
      <c r="MA60" s="5"/>
      <c r="MB60" s="203"/>
      <c r="MC60" s="307">
        <v>3</v>
      </c>
      <c r="ME60" s="7"/>
      <c r="MF60" s="305">
        <v>3</v>
      </c>
      <c r="MG60" s="7"/>
      <c r="MH60" s="7"/>
      <c r="MI60" s="7"/>
      <c r="MJ60" s="305">
        <v>3</v>
      </c>
      <c r="ML60" s="7"/>
      <c r="MM60" s="305">
        <v>2</v>
      </c>
      <c r="MN60" s="2"/>
      <c r="MO60" s="329" t="s">
        <v>269</v>
      </c>
      <c r="MP60" s="329"/>
      <c r="MQ60" s="2"/>
      <c r="MR60" s="2"/>
      <c r="MS60" s="2"/>
    </row>
    <row r="61" spans="2:357" ht="17.25" customHeight="1">
      <c r="F61" s="180"/>
      <c r="G61" s="6"/>
      <c r="H61" s="6"/>
      <c r="I61" s="6"/>
      <c r="J61" s="7"/>
      <c r="K61" s="2"/>
      <c r="L61" s="57"/>
      <c r="M61" s="7"/>
      <c r="O61" s="38"/>
      <c r="P61" s="52"/>
      <c r="Q61" s="2"/>
      <c r="R61" s="38"/>
      <c r="S61" s="52"/>
      <c r="T61" s="2"/>
      <c r="U61" s="38"/>
      <c r="V61" s="52"/>
      <c r="W61" s="7"/>
      <c r="X61" s="7"/>
      <c r="Y61" s="7"/>
      <c r="AA61" s="67"/>
      <c r="AB61" s="206"/>
      <c r="AC61" s="67"/>
      <c r="AD61" s="67"/>
      <c r="AE61" s="29"/>
      <c r="AF61" s="207"/>
      <c r="AG61" s="29"/>
      <c r="AH61" s="29"/>
      <c r="AI61" s="208"/>
      <c r="AJ61" s="206"/>
      <c r="AK61" s="67"/>
      <c r="AL61" s="205"/>
      <c r="AM61" s="207"/>
      <c r="AN61" s="29"/>
      <c r="AO61" s="29"/>
      <c r="AP61" s="207"/>
      <c r="AQ61" s="29"/>
      <c r="AR61" s="29"/>
      <c r="AS61" s="7"/>
      <c r="AT61" s="9"/>
      <c r="AU61" s="7"/>
      <c r="AV61" s="7"/>
      <c r="AW61" s="9"/>
      <c r="AX61" s="7"/>
      <c r="AY61" s="7"/>
      <c r="AZ61" s="9"/>
      <c r="BA61" s="7"/>
      <c r="BB61" s="182"/>
      <c r="BC61" s="207"/>
      <c r="BD61" s="29"/>
      <c r="BF61" s="46"/>
      <c r="BG61" s="209"/>
      <c r="BH61" s="68"/>
      <c r="BI61" s="7"/>
      <c r="BJ61" s="46"/>
      <c r="BK61" s="209"/>
      <c r="BL61" s="68"/>
      <c r="BM61" s="7"/>
      <c r="BN61" s="46"/>
      <c r="BO61" s="209"/>
      <c r="BP61" s="68"/>
      <c r="BQ61" s="68"/>
      <c r="BR61" s="68"/>
      <c r="BS61" s="209"/>
      <c r="BT61" s="68"/>
      <c r="BU61" s="68"/>
      <c r="BV61" s="46"/>
      <c r="BW61" s="209"/>
      <c r="BX61" s="68"/>
      <c r="BY61" s="7"/>
      <c r="BZ61" s="46"/>
      <c r="CA61" s="209"/>
      <c r="CB61" s="68"/>
      <c r="CC61" s="7"/>
      <c r="CD61" s="28"/>
      <c r="CE61" s="210"/>
      <c r="CG61" s="7"/>
      <c r="CH61" s="47"/>
      <c r="CI61" s="160"/>
      <c r="CJ61" s="68"/>
      <c r="CK61" s="46"/>
      <c r="CL61" s="209"/>
      <c r="CM61" s="68"/>
      <c r="CN61" s="2"/>
      <c r="CO61" s="46"/>
      <c r="CP61" s="209"/>
      <c r="CQ61" s="68"/>
      <c r="CR61" s="2"/>
      <c r="CS61" s="57"/>
      <c r="CT61" s="2"/>
      <c r="CU61" s="7"/>
      <c r="CV61" s="46"/>
      <c r="CW61" s="209"/>
      <c r="CX61" s="68"/>
      <c r="CY61" s="7"/>
      <c r="CZ61" s="46"/>
      <c r="DA61" s="209"/>
      <c r="DB61" s="68"/>
      <c r="DC61" s="7"/>
      <c r="DD61" s="46"/>
      <c r="DE61" s="209"/>
      <c r="DF61" s="68"/>
      <c r="DG61" s="2"/>
      <c r="DH61" s="46"/>
      <c r="DI61" s="209"/>
      <c r="DJ61" s="68"/>
      <c r="DK61" s="7"/>
      <c r="DL61" s="46"/>
      <c r="DM61" s="209"/>
      <c r="DN61" s="68"/>
      <c r="DO61" s="2"/>
      <c r="DP61" s="46"/>
      <c r="DQ61" s="209"/>
      <c r="DR61" s="7"/>
      <c r="DS61" s="7"/>
      <c r="DT61" s="310" t="s">
        <v>270</v>
      </c>
      <c r="DU61" s="310"/>
      <c r="DV61" s="31" t="s">
        <v>271</v>
      </c>
      <c r="DW61" s="46"/>
      <c r="DX61" s="68"/>
      <c r="DY61" s="209"/>
      <c r="DZ61" s="68"/>
      <c r="EA61" s="7"/>
      <c r="EB61" s="46"/>
      <c r="EC61" s="209"/>
      <c r="ED61" s="68"/>
      <c r="EE61" s="7"/>
      <c r="EF61" s="46"/>
      <c r="EG61" s="209"/>
      <c r="EH61" s="68"/>
      <c r="EI61" s="7"/>
      <c r="EJ61" s="28"/>
      <c r="EK61" s="210"/>
      <c r="EL61" s="23"/>
      <c r="EM61" s="68"/>
      <c r="EN61" s="68"/>
      <c r="EO61" s="209"/>
      <c r="EP61" s="68"/>
      <c r="EQ61" s="7"/>
      <c r="ER61" s="46"/>
      <c r="ES61" s="209"/>
      <c r="ET61" s="68"/>
      <c r="EU61" s="68"/>
      <c r="EV61" s="2"/>
      <c r="EW61" s="57"/>
      <c r="EX61" s="2"/>
      <c r="EY61" s="2"/>
      <c r="EZ61" s="2"/>
      <c r="FA61" s="312" t="s">
        <v>272</v>
      </c>
      <c r="FB61" s="312"/>
      <c r="FC61" s="68" t="s">
        <v>273</v>
      </c>
      <c r="FF61" s="4"/>
      <c r="FI61" s="4"/>
      <c r="FL61" s="4"/>
      <c r="FO61" s="4"/>
      <c r="FR61" s="4"/>
      <c r="FU61" s="4"/>
      <c r="FY61" s="4"/>
      <c r="GB61" s="4"/>
      <c r="GE61" s="4"/>
      <c r="GH61" s="4"/>
      <c r="GJ61" s="4"/>
      <c r="GK61" s="5"/>
      <c r="GL61" s="7"/>
      <c r="GM61" s="9"/>
      <c r="GN61" s="7"/>
      <c r="GO61" s="7"/>
      <c r="GP61" s="7"/>
      <c r="GQ61" s="19"/>
      <c r="GR61" s="12"/>
      <c r="GS61" s="109"/>
      <c r="GT61" s="7"/>
      <c r="GU61" s="20"/>
      <c r="GV61" s="7"/>
      <c r="GW61" s="2"/>
      <c r="GX61" s="7"/>
      <c r="GY61" s="12"/>
      <c r="GZ61" s="13"/>
      <c r="HA61" s="13"/>
      <c r="HB61" s="12"/>
      <c r="HC61" s="61"/>
      <c r="HD61" s="13"/>
      <c r="HE61" s="12"/>
      <c r="HF61" s="13"/>
      <c r="HG61" s="18"/>
      <c r="HH61" s="7"/>
      <c r="HI61" s="7"/>
      <c r="HJ61" s="7"/>
      <c r="HK61" s="7"/>
      <c r="HL61" s="12"/>
      <c r="HM61" s="13"/>
      <c r="HN61" s="13"/>
      <c r="HO61" s="12"/>
      <c r="HP61" s="13"/>
      <c r="HQ61" s="12"/>
      <c r="HR61" s="18"/>
      <c r="HS61" s="7"/>
      <c r="HT61" s="7"/>
      <c r="HU61" s="7"/>
      <c r="HV61" s="12"/>
      <c r="HW61" s="13"/>
      <c r="HX61" s="12"/>
      <c r="HY61" s="18"/>
      <c r="HZ61" s="7"/>
      <c r="IA61" s="7"/>
      <c r="IB61" s="7"/>
      <c r="IC61" s="12"/>
      <c r="ID61" s="13"/>
      <c r="IE61" s="12"/>
      <c r="IF61" s="13"/>
      <c r="IG61" s="12"/>
      <c r="IH61" s="13"/>
      <c r="II61" s="12"/>
      <c r="IJ61" s="13"/>
      <c r="IK61" s="13"/>
      <c r="IL61" s="12"/>
      <c r="IM61" s="13"/>
      <c r="IN61" s="18"/>
      <c r="IO61" s="7"/>
      <c r="IP61" s="7"/>
      <c r="IQ61" s="2"/>
      <c r="IR61" s="2"/>
      <c r="IS61" s="2"/>
      <c r="IT61" s="147"/>
      <c r="IU61" s="61"/>
      <c r="IV61" s="13"/>
      <c r="IW61" s="13"/>
      <c r="IX61" s="12"/>
      <c r="IY61" s="13"/>
      <c r="IZ61" s="13"/>
      <c r="JA61" s="12"/>
      <c r="JB61" s="13"/>
      <c r="JC61" s="13"/>
      <c r="JD61" s="12"/>
      <c r="JE61" s="122"/>
      <c r="JF61" s="147"/>
      <c r="JG61" s="122"/>
      <c r="JH61" s="2"/>
      <c r="JI61" s="7"/>
      <c r="JJ61" s="7"/>
      <c r="JK61" s="12"/>
      <c r="JL61" s="13"/>
      <c r="JM61" s="13"/>
      <c r="JN61" s="12"/>
      <c r="JO61" s="13"/>
      <c r="JP61" s="13"/>
      <c r="JQ61" s="13"/>
      <c r="JR61" s="12"/>
      <c r="JS61" s="13"/>
      <c r="JT61" s="13"/>
      <c r="JU61" s="9"/>
      <c r="JV61" s="7"/>
      <c r="JX61" s="2"/>
      <c r="JY61" s="211"/>
      <c r="JZ61" s="146"/>
      <c r="KA61" s="212"/>
      <c r="KB61" s="213"/>
      <c r="KD61" s="2"/>
      <c r="KE61" s="57"/>
      <c r="KG61" s="62"/>
      <c r="KH61" s="50"/>
      <c r="KI61" s="51"/>
      <c r="KJ61" s="62"/>
      <c r="KK61" s="38"/>
      <c r="KL61" s="52"/>
      <c r="KM61" s="62"/>
      <c r="KN61" s="50"/>
      <c r="KO61" s="51"/>
      <c r="KP61" s="62"/>
      <c r="KR61" s="38"/>
      <c r="KS61" s="50"/>
      <c r="KT61" s="74"/>
      <c r="KU61" s="214"/>
      <c r="KV61" s="179"/>
      <c r="KW61" s="25"/>
      <c r="KX61" s="111"/>
      <c r="KY61" s="215"/>
      <c r="KZ61" s="214"/>
      <c r="LA61" s="7"/>
      <c r="LB61" s="215"/>
      <c r="LC61" s="214"/>
      <c r="LD61" s="7"/>
      <c r="LE61" s="7"/>
      <c r="LF61" s="111"/>
      <c r="LG61" s="214"/>
      <c r="LI61" s="38"/>
      <c r="LJ61" s="52"/>
      <c r="LK61" s="38"/>
      <c r="LL61" s="38"/>
      <c r="LM61" s="7"/>
      <c r="LN61" s="9"/>
      <c r="LO61" s="38"/>
      <c r="LP61" s="7"/>
      <c r="LQ61" s="62"/>
      <c r="LR61" s="112"/>
      <c r="LS61" s="7"/>
      <c r="LT61" s="38"/>
      <c r="LU61" s="38"/>
      <c r="LV61" s="52"/>
      <c r="LX61" s="5"/>
      <c r="LY61" s="26"/>
      <c r="LZ61" s="6"/>
      <c r="MA61" s="5"/>
      <c r="MB61" s="215"/>
      <c r="MC61" s="111"/>
      <c r="ME61" s="7"/>
      <c r="MF61" s="9"/>
      <c r="MG61" s="7"/>
      <c r="MH61" s="7"/>
      <c r="MI61" s="7"/>
      <c r="MJ61" s="9"/>
    </row>
    <row r="62" spans="2:357" ht="17.25" customHeight="1">
      <c r="F62" s="190"/>
      <c r="G62" s="216"/>
      <c r="H62" s="216"/>
      <c r="I62" s="216"/>
      <c r="J62" s="216"/>
      <c r="K62" s="2"/>
      <c r="L62" s="57"/>
      <c r="M62" s="7"/>
      <c r="O62" s="38"/>
      <c r="P62" s="52"/>
      <c r="Q62" s="2"/>
      <c r="R62" s="38"/>
      <c r="S62" s="52"/>
      <c r="T62" s="2"/>
      <c r="U62" s="38"/>
      <c r="V62" s="52"/>
      <c r="W62" s="7"/>
      <c r="X62" s="7"/>
      <c r="Y62" s="7"/>
      <c r="AA62" s="7"/>
      <c r="AB62" s="9"/>
      <c r="AC62" s="20"/>
      <c r="AD62" s="67"/>
      <c r="AE62" s="29"/>
      <c r="AF62" s="207"/>
      <c r="AG62" s="29"/>
      <c r="AH62" s="29"/>
      <c r="AI62" s="208"/>
      <c r="AJ62" s="206"/>
      <c r="AK62" s="67"/>
      <c r="AL62" s="205"/>
      <c r="AM62" s="207"/>
      <c r="AN62" s="29"/>
      <c r="AO62" s="29"/>
      <c r="AP62" s="207"/>
      <c r="AQ62" s="29"/>
      <c r="AR62" s="29"/>
      <c r="AS62" s="7"/>
      <c r="AT62" s="9"/>
      <c r="AU62" s="29"/>
      <c r="AV62" s="7"/>
      <c r="AW62" s="9"/>
      <c r="AX62" s="7"/>
      <c r="AY62" s="7"/>
      <c r="AZ62" s="9"/>
      <c r="BA62" s="7"/>
      <c r="BB62" s="28"/>
      <c r="BC62" s="210"/>
      <c r="BD62" s="29"/>
      <c r="BF62" s="46"/>
      <c r="BG62" s="209"/>
      <c r="BH62" s="68"/>
      <c r="BI62" s="7"/>
      <c r="BJ62" s="46"/>
      <c r="BK62" s="209"/>
      <c r="BL62" s="68"/>
      <c r="BM62" s="7"/>
      <c r="BN62" s="46"/>
      <c r="BO62" s="209"/>
      <c r="BP62" s="68"/>
      <c r="BQ62" s="68"/>
      <c r="BR62" s="68"/>
      <c r="BS62" s="209"/>
      <c r="BT62" s="68"/>
      <c r="BU62" s="68"/>
      <c r="BV62" s="46"/>
      <c r="BW62" s="209"/>
      <c r="BX62" s="68"/>
      <c r="BY62" s="7"/>
      <c r="BZ62" s="46"/>
      <c r="CA62" s="209"/>
      <c r="CB62" s="68"/>
      <c r="CC62" s="7"/>
      <c r="CD62" s="28"/>
      <c r="CE62" s="210"/>
      <c r="CG62" s="7"/>
      <c r="CH62" s="47"/>
      <c r="CI62" s="160"/>
      <c r="CJ62" s="68"/>
      <c r="CK62" s="46"/>
      <c r="CL62" s="209"/>
      <c r="CM62" s="68"/>
      <c r="CN62" s="2"/>
      <c r="CO62" s="46"/>
      <c r="CP62" s="209"/>
      <c r="CQ62" s="68"/>
      <c r="CR62" s="2"/>
      <c r="CS62" s="57"/>
      <c r="CT62" s="2"/>
      <c r="CU62" s="7"/>
      <c r="CV62" s="46"/>
      <c r="CW62" s="209"/>
      <c r="CX62" s="68"/>
      <c r="CY62" s="7"/>
      <c r="CZ62" s="46"/>
      <c r="DA62" s="209"/>
      <c r="DB62" s="68"/>
      <c r="DC62" s="7"/>
      <c r="DD62" s="46"/>
      <c r="DE62" s="209"/>
      <c r="DF62" s="68"/>
      <c r="DG62" s="2"/>
      <c r="DH62" s="46"/>
      <c r="DI62" s="209"/>
      <c r="DJ62" s="68"/>
      <c r="DK62" s="7"/>
      <c r="DL62" s="46"/>
      <c r="DM62" s="209"/>
      <c r="DN62" s="68"/>
      <c r="DO62" s="2"/>
      <c r="DP62" s="46"/>
      <c r="DQ62" s="209"/>
      <c r="DR62" s="7"/>
      <c r="DS62" s="7"/>
      <c r="DT62" s="29"/>
      <c r="DU62" s="207"/>
      <c r="DV62" s="31"/>
      <c r="DW62" s="46"/>
      <c r="DX62" s="68"/>
      <c r="DY62" s="209"/>
      <c r="DZ62" s="68"/>
      <c r="EA62" s="7"/>
      <c r="EB62" s="46"/>
      <c r="EC62" s="209"/>
      <c r="ED62" s="68"/>
      <c r="EE62" s="7"/>
      <c r="EF62" s="46"/>
      <c r="EG62" s="209"/>
      <c r="EH62" s="68"/>
      <c r="EI62" s="7"/>
      <c r="EJ62" s="28"/>
      <c r="EK62" s="210"/>
      <c r="EL62" s="23"/>
      <c r="EM62" s="68"/>
      <c r="EN62" s="68"/>
      <c r="EO62" s="209"/>
      <c r="EP62" s="68"/>
      <c r="EQ62" s="7"/>
      <c r="ER62" s="46"/>
      <c r="ES62" s="209"/>
      <c r="ET62" s="68"/>
      <c r="EU62" s="68"/>
      <c r="EV62" s="2"/>
      <c r="EW62" s="57"/>
      <c r="EX62" s="2"/>
      <c r="EY62" s="2"/>
      <c r="EZ62" s="2"/>
      <c r="FA62" s="312" t="s">
        <v>274</v>
      </c>
      <c r="FB62" s="312"/>
      <c r="FC62" s="23" t="s">
        <v>275</v>
      </c>
      <c r="FF62" s="4"/>
      <c r="FI62" s="4"/>
      <c r="FL62" s="4"/>
      <c r="FO62" s="4"/>
      <c r="FR62" s="4"/>
      <c r="FU62" s="4"/>
      <c r="FY62" s="4"/>
      <c r="GB62" s="4"/>
      <c r="GE62" s="4"/>
      <c r="GG62" s="31" t="s">
        <v>276</v>
      </c>
      <c r="GH62" s="31" t="s">
        <v>277</v>
      </c>
      <c r="GJ62" s="4"/>
      <c r="GK62" s="5"/>
      <c r="GM62" s="4"/>
      <c r="GN62" s="5"/>
      <c r="GO62" s="5"/>
      <c r="GP62" s="109"/>
      <c r="GQ62" s="217"/>
      <c r="GR62" s="218"/>
      <c r="GS62" s="109"/>
      <c r="GU62" s="20"/>
      <c r="GV62" s="2"/>
      <c r="GX62" s="314" t="s">
        <v>278</v>
      </c>
      <c r="GY62" s="314"/>
      <c r="GZ62" s="6"/>
      <c r="HA62" s="310" t="s">
        <v>279</v>
      </c>
      <c r="HB62" s="310"/>
      <c r="HC62" s="2"/>
      <c r="HD62" s="310" t="s">
        <v>280</v>
      </c>
      <c r="HE62" s="310"/>
      <c r="HF62" s="29"/>
      <c r="HG62" s="310" t="s">
        <v>281</v>
      </c>
      <c r="HH62" s="310"/>
      <c r="HI62" s="29"/>
      <c r="HJ62" s="7"/>
      <c r="HK62" s="314" t="s">
        <v>282</v>
      </c>
      <c r="HL62" s="314"/>
      <c r="HM62" s="20"/>
      <c r="HN62" s="310" t="s">
        <v>283</v>
      </c>
      <c r="HO62" s="310"/>
      <c r="HP62" s="318" t="s">
        <v>284</v>
      </c>
      <c r="HQ62" s="318"/>
      <c r="HR62" s="318" t="s">
        <v>285</v>
      </c>
      <c r="HS62" s="318"/>
      <c r="HT62" s="25"/>
      <c r="HU62" s="310" t="s">
        <v>286</v>
      </c>
      <c r="HV62" s="310"/>
      <c r="HW62" s="314" t="s">
        <v>287</v>
      </c>
      <c r="HX62" s="314"/>
      <c r="HY62" s="314" t="s">
        <v>288</v>
      </c>
      <c r="HZ62" s="314"/>
      <c r="IA62" s="20"/>
      <c r="IB62" s="314" t="s">
        <v>289</v>
      </c>
      <c r="IC62" s="314"/>
      <c r="ID62" s="310" t="s">
        <v>290</v>
      </c>
      <c r="IE62" s="310"/>
      <c r="IF62" s="314" t="s">
        <v>291</v>
      </c>
      <c r="IG62" s="314"/>
      <c r="IH62" s="314" t="s">
        <v>292</v>
      </c>
      <c r="II62" s="314"/>
      <c r="IJ62" s="6"/>
      <c r="IK62" s="310" t="s">
        <v>293</v>
      </c>
      <c r="IL62" s="310"/>
      <c r="IM62" s="6"/>
      <c r="IN62" s="314" t="s">
        <v>294</v>
      </c>
      <c r="IO62" s="314"/>
      <c r="IP62" s="2"/>
      <c r="IQ62" s="20"/>
      <c r="IR62" s="7"/>
      <c r="IS62" s="310" t="s">
        <v>295</v>
      </c>
      <c r="IT62" s="310"/>
      <c r="IU62" s="29"/>
      <c r="IV62" s="7"/>
      <c r="IW62" s="310" t="s">
        <v>296</v>
      </c>
      <c r="IX62" s="310"/>
      <c r="IZ62" s="310" t="s">
        <v>297</v>
      </c>
      <c r="JA62" s="310"/>
      <c r="JB62" s="7"/>
      <c r="JC62" s="333" t="s">
        <v>298</v>
      </c>
      <c r="JD62" s="333"/>
      <c r="JE62" s="314" t="s">
        <v>299</v>
      </c>
      <c r="JF62" s="314"/>
      <c r="JG62" s="314" t="s">
        <v>300</v>
      </c>
      <c r="JH62" s="314"/>
      <c r="JI62" s="2"/>
      <c r="JJ62" s="318" t="s">
        <v>301</v>
      </c>
      <c r="JK62" s="318"/>
      <c r="JL62" s="7"/>
      <c r="JM62" s="310" t="s">
        <v>302</v>
      </c>
      <c r="JN62" s="310"/>
      <c r="JO62" s="7"/>
      <c r="JP62" s="2"/>
      <c r="JQ62" s="7"/>
      <c r="JR62" s="9"/>
      <c r="JS62" s="7"/>
      <c r="JT62" s="20"/>
      <c r="JU62" s="57"/>
      <c r="JV62" s="2"/>
      <c r="JX62" s="333" t="s">
        <v>303</v>
      </c>
      <c r="JY62" s="333"/>
      <c r="JZ62" s="6"/>
      <c r="KA62" s="333" t="s">
        <v>304</v>
      </c>
      <c r="KB62" s="333"/>
      <c r="KD62" s="2"/>
      <c r="KE62" s="57"/>
      <c r="KG62" s="325" t="s">
        <v>305</v>
      </c>
      <c r="KH62" s="325"/>
      <c r="KI62" s="325" t="s">
        <v>306</v>
      </c>
      <c r="KJ62" s="325"/>
      <c r="KK62" s="339" t="s">
        <v>307</v>
      </c>
      <c r="KL62" s="339"/>
      <c r="KM62" s="325" t="s">
        <v>308</v>
      </c>
      <c r="KN62" s="325"/>
      <c r="KO62" s="325" t="s">
        <v>309</v>
      </c>
      <c r="KP62" s="325"/>
      <c r="KS62" s="4"/>
      <c r="KU62" s="4"/>
      <c r="KV62" s="179"/>
      <c r="KW62" s="25"/>
      <c r="KX62" s="219"/>
      <c r="KY62" s="220"/>
      <c r="KZ62" s="221"/>
      <c r="LA62" s="7"/>
      <c r="LB62" s="38"/>
      <c r="LC62" s="52"/>
      <c r="LD62" s="7"/>
      <c r="LE62" s="7"/>
      <c r="LG62" s="4"/>
      <c r="LI62" s="2"/>
      <c r="LJ62" s="57"/>
      <c r="LK62" s="62"/>
      <c r="LL62" s="38"/>
      <c r="LM62" s="222"/>
      <c r="LN62" s="137"/>
      <c r="LO62" s="38"/>
      <c r="LP62" s="7"/>
      <c r="LQ62" s="50"/>
      <c r="LR62" s="51"/>
      <c r="LS62" s="62"/>
      <c r="LT62" s="38"/>
      <c r="LU62" s="197"/>
      <c r="LV62" s="223"/>
      <c r="LX62" s="6"/>
      <c r="LY62" s="213"/>
      <c r="LZ62" s="6"/>
      <c r="MA62" s="5"/>
      <c r="MB62" s="215"/>
      <c r="MC62" s="111"/>
      <c r="ME62" s="311" t="s">
        <v>310</v>
      </c>
      <c r="MF62" s="311"/>
      <c r="MG62" s="7"/>
      <c r="MH62" s="7"/>
      <c r="MI62" s="28"/>
      <c r="MJ62" s="210"/>
    </row>
    <row r="63" spans="2:357" ht="17.25">
      <c r="F63" s="224"/>
      <c r="G63" s="46"/>
      <c r="H63" s="46"/>
      <c r="I63" s="46"/>
      <c r="J63" s="47"/>
      <c r="K63" s="225"/>
      <c r="L63" s="213"/>
      <c r="M63" s="7"/>
      <c r="O63" s="7"/>
      <c r="P63" s="9"/>
      <c r="Q63" s="2"/>
      <c r="R63" s="226"/>
      <c r="S63" s="9"/>
      <c r="T63" s="2"/>
      <c r="U63" s="7"/>
      <c r="V63" s="9"/>
      <c r="W63" s="7"/>
      <c r="X63" s="7"/>
      <c r="Y63" s="7"/>
      <c r="AA63" s="29"/>
      <c r="AB63" s="207"/>
      <c r="AC63" s="29"/>
      <c r="AD63" s="29"/>
      <c r="AE63" s="7"/>
      <c r="AF63" s="9"/>
      <c r="AG63" s="7"/>
      <c r="AH63" s="29"/>
      <c r="AI63" s="205"/>
      <c r="AJ63" s="207"/>
      <c r="AK63" s="29"/>
      <c r="AL63" s="19"/>
      <c r="AM63" s="9"/>
      <c r="AN63" s="7"/>
      <c r="AO63" s="7"/>
      <c r="AP63" s="9"/>
      <c r="AQ63" s="7"/>
      <c r="AR63" s="7"/>
      <c r="AS63" s="7"/>
      <c r="AT63" s="9"/>
      <c r="AU63" s="29"/>
      <c r="AV63" s="7"/>
      <c r="AW63" s="9"/>
      <c r="AX63" s="7"/>
      <c r="AY63" s="7"/>
      <c r="AZ63" s="9"/>
      <c r="BA63" s="7"/>
      <c r="BB63" s="28"/>
      <c r="BC63" s="210"/>
      <c r="BD63" s="29"/>
      <c r="BG63" s="4"/>
      <c r="BK63" s="4"/>
      <c r="BM63" s="46"/>
      <c r="BO63" s="4"/>
      <c r="BQ63" s="108"/>
      <c r="BS63" s="4"/>
      <c r="BW63" s="4"/>
      <c r="BY63" s="46"/>
      <c r="BZ63" s="2"/>
      <c r="CA63" s="57"/>
      <c r="CB63" s="2"/>
      <c r="CC63" s="46"/>
      <c r="CD63" s="28"/>
      <c r="CE63" s="210"/>
      <c r="CG63" s="7"/>
      <c r="CH63" s="47"/>
      <c r="CI63" s="160"/>
      <c r="CJ63" s="68"/>
      <c r="CK63" s="46"/>
      <c r="CL63" s="209"/>
      <c r="CM63" s="68"/>
      <c r="CN63" s="2"/>
      <c r="CO63" s="46"/>
      <c r="CP63" s="209"/>
      <c r="CQ63" s="35"/>
      <c r="CS63" s="4"/>
      <c r="CU63" s="35"/>
      <c r="CV63" s="2"/>
      <c r="CW63" s="57"/>
      <c r="CX63" s="2"/>
      <c r="CY63" s="46"/>
      <c r="DA63" s="4"/>
      <c r="DE63" s="4"/>
      <c r="DG63" s="2"/>
      <c r="DH63" s="2"/>
      <c r="DI63" s="57"/>
      <c r="DJ63" s="2"/>
      <c r="DK63" s="2"/>
      <c r="DM63" s="4"/>
      <c r="DO63" s="2"/>
      <c r="DP63" s="47"/>
      <c r="DQ63" s="9"/>
      <c r="DR63" s="46"/>
      <c r="DS63" s="46"/>
      <c r="DU63" s="4"/>
      <c r="DW63" s="46"/>
      <c r="DX63" s="31"/>
      <c r="DY63" s="54"/>
      <c r="DZ63" s="31"/>
      <c r="EA63" s="46"/>
      <c r="EC63" s="4"/>
      <c r="EE63" s="46"/>
      <c r="EF63" s="47"/>
      <c r="EG63" s="9"/>
      <c r="EH63" s="329"/>
      <c r="EI63" s="329"/>
      <c r="EK63" s="4"/>
      <c r="EM63" s="46"/>
      <c r="EN63" s="46"/>
      <c r="EO63" s="66"/>
      <c r="EP63" s="46"/>
      <c r="EQ63" s="46"/>
      <c r="ER63" s="35"/>
      <c r="ES63" s="113"/>
      <c r="ET63" s="35"/>
      <c r="EU63" s="35"/>
      <c r="EV63" s="28"/>
      <c r="EW63" s="210"/>
      <c r="EX63" s="23"/>
      <c r="EY63" s="2"/>
      <c r="EZ63" s="28"/>
      <c r="FB63" s="4"/>
      <c r="FD63" s="2"/>
      <c r="FF63" s="4"/>
      <c r="FH63" s="2"/>
      <c r="FI63" s="57"/>
      <c r="FJ63" s="2"/>
      <c r="FK63" s="28"/>
      <c r="FL63" s="210"/>
      <c r="FM63" s="28"/>
      <c r="FN63" s="2"/>
      <c r="FO63" s="57"/>
      <c r="FP63" s="2"/>
      <c r="FR63" s="4"/>
      <c r="FT63" s="2"/>
      <c r="FU63" s="4"/>
      <c r="FX63" s="6"/>
      <c r="FY63" s="213"/>
      <c r="FZ63" s="2"/>
      <c r="GA63" s="6"/>
      <c r="GB63" s="213"/>
      <c r="GC63" s="2"/>
      <c r="GD63" s="2"/>
      <c r="GE63" s="9"/>
      <c r="GF63" s="2"/>
      <c r="GH63" s="4"/>
      <c r="GI63" s="6"/>
      <c r="GJ63" s="213"/>
      <c r="GK63" s="5"/>
      <c r="GM63" s="4"/>
      <c r="GN63" s="7"/>
      <c r="GO63" s="7"/>
      <c r="GP63" s="327" t="s">
        <v>311</v>
      </c>
      <c r="GQ63" s="327"/>
      <c r="GR63" s="327" t="s">
        <v>312</v>
      </c>
      <c r="GS63" s="327"/>
      <c r="GU63" s="20"/>
      <c r="GV63" s="6"/>
      <c r="GW63" s="2"/>
      <c r="GX63" s="227"/>
      <c r="GY63" s="228"/>
      <c r="GZ63" s="228"/>
      <c r="HA63" s="20"/>
      <c r="HB63" s="9"/>
      <c r="HC63" s="2"/>
      <c r="HD63" s="228"/>
      <c r="HE63" s="229"/>
      <c r="HF63" s="7"/>
      <c r="HG63" s="230"/>
      <c r="HH63" s="7"/>
      <c r="HI63" s="7"/>
      <c r="HJ63" s="7"/>
      <c r="HK63" s="228"/>
      <c r="HL63" s="58"/>
      <c r="HM63" s="7"/>
      <c r="HN63" s="7"/>
      <c r="HO63" s="9"/>
      <c r="HP63" s="7"/>
      <c r="HQ63" s="9"/>
      <c r="HR63" s="19"/>
      <c r="HS63" s="7"/>
      <c r="HT63" s="7"/>
      <c r="HU63" s="7"/>
      <c r="HV63" s="58"/>
      <c r="HW63" s="7"/>
      <c r="HX63" s="9"/>
      <c r="HY63" s="7"/>
      <c r="HZ63" s="9"/>
      <c r="IA63" s="7"/>
      <c r="IB63" s="7"/>
      <c r="IC63" s="9"/>
      <c r="ID63" s="7"/>
      <c r="IE63" s="9"/>
      <c r="IF63" s="28"/>
      <c r="IG63" s="210"/>
      <c r="IH63" s="7"/>
      <c r="II63" s="9"/>
      <c r="IJ63" s="7"/>
      <c r="IK63" s="231"/>
      <c r="IL63" s="7"/>
      <c r="IM63" s="7"/>
      <c r="IN63" s="7"/>
      <c r="IO63" s="9"/>
      <c r="IP63" s="2"/>
      <c r="IQ63" s="20"/>
      <c r="IR63" s="7"/>
      <c r="IS63" s="7"/>
      <c r="IT63" s="126"/>
      <c r="IU63" s="97"/>
      <c r="IV63" s="7"/>
      <c r="IW63" s="7"/>
      <c r="IX63" s="9"/>
      <c r="IY63" s="7"/>
      <c r="IZ63" s="7"/>
      <c r="JA63" s="126"/>
      <c r="JB63" s="7"/>
      <c r="JC63" s="7"/>
      <c r="JD63" s="9"/>
      <c r="JE63" s="7"/>
      <c r="JF63" s="9"/>
      <c r="JG63" s="28"/>
      <c r="JH63" s="58"/>
      <c r="JI63" s="2"/>
      <c r="JJ63" s="151"/>
      <c r="JK63" s="149"/>
      <c r="JL63" s="28"/>
      <c r="JM63" s="28"/>
      <c r="JN63" s="9"/>
      <c r="JO63" s="7"/>
      <c r="JP63" s="2"/>
      <c r="JQ63" s="7"/>
      <c r="JR63" s="9"/>
      <c r="JS63" s="7"/>
      <c r="JT63" s="7"/>
      <c r="JU63" s="57"/>
      <c r="JV63" s="2"/>
      <c r="JX63" s="2"/>
      <c r="JY63" s="57"/>
      <c r="JZ63" s="2"/>
      <c r="KA63" s="2"/>
      <c r="KB63" s="57"/>
      <c r="KD63" s="2"/>
      <c r="KE63" s="57"/>
      <c r="KG63" s="38"/>
      <c r="KH63" s="112"/>
      <c r="KI63" s="25"/>
      <c r="KJ63" s="128"/>
      <c r="KK63" s="62"/>
      <c r="KL63" s="210"/>
      <c r="KM63" s="203"/>
      <c r="KN63" s="62"/>
      <c r="KO63" s="232"/>
      <c r="KP63" s="28"/>
      <c r="KR63" s="38"/>
      <c r="KS63" s="112"/>
      <c r="KT63" s="25"/>
      <c r="KU63" s="112"/>
      <c r="KV63" s="25"/>
      <c r="KW63" s="128"/>
      <c r="KX63" s="62"/>
      <c r="KY63" s="233"/>
      <c r="KZ63" s="234"/>
      <c r="LA63" s="7"/>
      <c r="LB63" s="38"/>
      <c r="LC63" s="52"/>
      <c r="LD63" s="7"/>
      <c r="LE63" s="7"/>
      <c r="LF63" s="233"/>
      <c r="LG63" s="234"/>
      <c r="LI63" s="314" t="s">
        <v>313</v>
      </c>
      <c r="LJ63" s="314"/>
      <c r="LK63" s="2"/>
      <c r="LL63" s="314" t="s">
        <v>314</v>
      </c>
      <c r="LM63" s="314"/>
      <c r="LN63" s="314" t="s">
        <v>315</v>
      </c>
      <c r="LO63" s="314"/>
      <c r="LP63" s="314" t="s">
        <v>316</v>
      </c>
      <c r="LQ63" s="314"/>
      <c r="LR63" s="314" t="s">
        <v>317</v>
      </c>
      <c r="LS63" s="314"/>
      <c r="LT63" s="38"/>
      <c r="LU63" s="325" t="s">
        <v>318</v>
      </c>
      <c r="LV63" s="325"/>
      <c r="LY63" s="4"/>
      <c r="LZ63" s="62"/>
      <c r="MA63" s="5"/>
      <c r="MB63" s="215"/>
      <c r="MC63" s="62"/>
      <c r="ME63" s="38"/>
      <c r="MF63" s="52"/>
      <c r="MG63" s="7"/>
      <c r="MH63" s="7"/>
      <c r="MJ63" s="4"/>
    </row>
    <row r="64" spans="2:357" ht="17.25" customHeight="1">
      <c r="F64" s="311" t="s">
        <v>319</v>
      </c>
      <c r="G64" s="311"/>
      <c r="H64" s="7"/>
      <c r="I64" s="7"/>
      <c r="J64" s="7"/>
      <c r="K64" s="46"/>
      <c r="L64" s="66"/>
      <c r="M64" s="7"/>
      <c r="O64" s="49"/>
      <c r="P64" s="9"/>
      <c r="Q64" s="2"/>
      <c r="R64" s="226"/>
      <c r="S64" s="9"/>
      <c r="T64" s="2"/>
      <c r="U64" s="7"/>
      <c r="V64" s="9"/>
      <c r="W64" s="7"/>
      <c r="X64" s="7"/>
      <c r="Y64" s="7"/>
      <c r="AA64" s="346" t="s">
        <v>320</v>
      </c>
      <c r="AB64" s="346"/>
      <c r="AC64" s="346"/>
      <c r="AD64" s="25"/>
      <c r="AE64" s="346" t="s">
        <v>321</v>
      </c>
      <c r="AF64" s="346"/>
      <c r="AG64" s="25"/>
      <c r="AH64" s="25"/>
      <c r="AI64" s="346" t="s">
        <v>322</v>
      </c>
      <c r="AJ64" s="346"/>
      <c r="AK64" s="25"/>
      <c r="AL64" s="318" t="s">
        <v>323</v>
      </c>
      <c r="AM64" s="318"/>
      <c r="AN64" s="25"/>
      <c r="AO64" s="346" t="s">
        <v>324</v>
      </c>
      <c r="AP64" s="346"/>
      <c r="AQ64" s="25"/>
      <c r="AR64" s="25"/>
      <c r="AS64" s="346" t="s">
        <v>325</v>
      </c>
      <c r="AT64" s="346"/>
      <c r="AU64" s="197"/>
      <c r="AV64" s="346" t="s">
        <v>326</v>
      </c>
      <c r="AW64" s="346"/>
      <c r="AX64" s="346"/>
      <c r="AY64" s="318" t="s">
        <v>327</v>
      </c>
      <c r="AZ64" s="318"/>
      <c r="BA64" s="318"/>
      <c r="BB64" s="327" t="s">
        <v>328</v>
      </c>
      <c r="BC64" s="327"/>
      <c r="BD64" s="197"/>
      <c r="BF64" s="311" t="s">
        <v>329</v>
      </c>
      <c r="BG64" s="311"/>
      <c r="BH64" s="68" t="s">
        <v>330</v>
      </c>
      <c r="BI64" s="46"/>
      <c r="BJ64" s="311" t="s">
        <v>331</v>
      </c>
      <c r="BK64" s="311"/>
      <c r="BL64" s="68" t="s">
        <v>332</v>
      </c>
      <c r="BM64" s="46"/>
      <c r="BN64" s="311" t="s">
        <v>333</v>
      </c>
      <c r="BO64" s="311"/>
      <c r="BP64" s="108" t="s">
        <v>334</v>
      </c>
      <c r="BQ64" s="108"/>
      <c r="BR64" s="329" t="s">
        <v>335</v>
      </c>
      <c r="BS64" s="329"/>
      <c r="BT64" s="31" t="s">
        <v>336</v>
      </c>
      <c r="BU64" s="108"/>
      <c r="BV64" s="310" t="s">
        <v>337</v>
      </c>
      <c r="BW64" s="310"/>
      <c r="BX64" s="108" t="s">
        <v>338</v>
      </c>
      <c r="BY64" s="46"/>
      <c r="BZ64" s="46"/>
      <c r="CA64" s="66"/>
      <c r="CB64" s="46"/>
      <c r="CC64" s="46"/>
      <c r="CD64" s="338" t="s">
        <v>339</v>
      </c>
      <c r="CE64" s="338"/>
      <c r="CF64" s="68" t="s">
        <v>340</v>
      </c>
      <c r="CG64" s="46"/>
      <c r="CH64" s="47"/>
      <c r="CI64" s="9"/>
      <c r="CJ64" s="46"/>
      <c r="CK64" s="2"/>
      <c r="CL64" s="57"/>
      <c r="CM64" s="2"/>
      <c r="CN64" s="2"/>
      <c r="CO64" s="35"/>
      <c r="CP64" s="113"/>
      <c r="CQ64" s="46"/>
      <c r="CR64" s="338" t="s">
        <v>341</v>
      </c>
      <c r="CS64" s="338"/>
      <c r="CT64" s="23" t="s">
        <v>342</v>
      </c>
      <c r="CU64" s="46"/>
      <c r="CV64" s="143"/>
      <c r="CW64" s="66"/>
      <c r="CX64" s="46"/>
      <c r="CY64" s="46"/>
      <c r="CZ64" s="329" t="s">
        <v>343</v>
      </c>
      <c r="DA64" s="329"/>
      <c r="DB64" s="236" t="s">
        <v>344</v>
      </c>
      <c r="DC64" s="46"/>
      <c r="DD64" s="310" t="s">
        <v>345</v>
      </c>
      <c r="DE64" s="310"/>
      <c r="DF64" s="236" t="s">
        <v>346</v>
      </c>
      <c r="DG64" s="2"/>
      <c r="DH64" s="2"/>
      <c r="DI64" s="57"/>
      <c r="DJ64" s="2"/>
      <c r="DK64" s="2"/>
      <c r="DL64" s="331" t="s">
        <v>347</v>
      </c>
      <c r="DM64" s="331"/>
      <c r="DN64" s="31" t="s">
        <v>277</v>
      </c>
      <c r="DO64" s="2"/>
      <c r="DP64" s="46"/>
      <c r="DQ64" s="66"/>
      <c r="DR64" s="46"/>
      <c r="DS64" s="46"/>
      <c r="DT64" s="312" t="s">
        <v>348</v>
      </c>
      <c r="DU64" s="312"/>
      <c r="DV64" s="31" t="s">
        <v>271</v>
      </c>
      <c r="DW64" s="46"/>
      <c r="DX64" s="49"/>
      <c r="DY64" s="237"/>
      <c r="DZ64" s="49"/>
      <c r="EA64" s="49"/>
      <c r="EB64" s="329" t="s">
        <v>349</v>
      </c>
      <c r="EC64" s="329"/>
      <c r="ED64" s="31" t="s">
        <v>350</v>
      </c>
      <c r="EE64" s="46"/>
      <c r="EF64" s="46"/>
      <c r="EG64" s="237"/>
      <c r="EH64" s="49"/>
      <c r="EI64" s="49"/>
      <c r="EJ64" s="345" t="s">
        <v>351</v>
      </c>
      <c r="EK64" s="345"/>
      <c r="EL64" s="23" t="s">
        <v>352</v>
      </c>
      <c r="EM64" s="46"/>
      <c r="EN64" s="46"/>
      <c r="EO64" s="66"/>
      <c r="EP64" s="46"/>
      <c r="EQ64" s="46"/>
      <c r="ER64" s="49"/>
      <c r="ES64" s="9"/>
      <c r="ET64" s="49"/>
      <c r="EU64" s="49"/>
      <c r="EV64" s="2"/>
      <c r="EW64" s="57"/>
      <c r="EX64" s="2"/>
      <c r="EY64" s="2"/>
      <c r="EZ64" s="2"/>
      <c r="FA64" s="310" t="s">
        <v>353</v>
      </c>
      <c r="FB64" s="310"/>
      <c r="FC64" s="23" t="s">
        <v>354</v>
      </c>
      <c r="FD64" s="2"/>
      <c r="FE64" s="68"/>
      <c r="FF64" s="209"/>
      <c r="FG64" s="7"/>
      <c r="FH64" s="7"/>
      <c r="FI64" s="9"/>
      <c r="FJ64" s="7"/>
      <c r="FK64" s="23"/>
      <c r="FL64" s="30"/>
      <c r="FM64" s="23"/>
      <c r="FN64" s="28"/>
      <c r="FO64" s="210"/>
      <c r="FP64" s="23"/>
      <c r="FQ64" s="329" t="s">
        <v>355</v>
      </c>
      <c r="FR64" s="329"/>
      <c r="FS64" s="31" t="s">
        <v>352</v>
      </c>
      <c r="FT64" s="2"/>
      <c r="FU64" s="4"/>
      <c r="FX64" s="2"/>
      <c r="FY64" s="57"/>
      <c r="FZ64" s="2"/>
      <c r="GA64" s="28" t="s">
        <v>356</v>
      </c>
      <c r="GB64" s="108" t="s">
        <v>271</v>
      </c>
      <c r="GC64" s="2"/>
      <c r="GD64" s="2"/>
      <c r="GE64" s="57"/>
      <c r="GF64" s="238"/>
      <c r="GH64" s="4"/>
      <c r="GI64" s="2"/>
      <c r="GJ64" s="57"/>
      <c r="GK64" s="5"/>
      <c r="GM64" s="4"/>
      <c r="GP64" s="327"/>
      <c r="GQ64" s="327"/>
      <c r="GR64" s="327"/>
      <c r="GS64" s="327"/>
      <c r="GU64" s="7"/>
      <c r="GV64" s="12"/>
      <c r="GW64" s="18"/>
      <c r="GX64" s="13"/>
      <c r="GY64" s="18"/>
      <c r="GZ64" s="7"/>
      <c r="HA64" s="7"/>
      <c r="HB64" s="9"/>
      <c r="HC64" s="7"/>
      <c r="HD64" s="12"/>
      <c r="HE64" s="18"/>
      <c r="HF64" s="7"/>
      <c r="HG64" s="19"/>
      <c r="HH64" s="7"/>
      <c r="HI64" s="7"/>
      <c r="HJ64" s="7"/>
      <c r="HK64" s="7"/>
      <c r="HL64" s="126"/>
      <c r="HM64" s="7"/>
      <c r="HN64" s="239"/>
      <c r="HO64" s="240"/>
      <c r="HP64" s="239"/>
      <c r="HQ64" s="240"/>
      <c r="HR64" s="241"/>
      <c r="HS64" s="239"/>
      <c r="HT64" s="239"/>
      <c r="HU64" s="7"/>
      <c r="HV64" s="9"/>
      <c r="HW64" s="19"/>
      <c r="HX64" s="7"/>
      <c r="HY64" s="7"/>
      <c r="HZ64" s="9"/>
      <c r="IA64" s="7"/>
      <c r="IB64" s="7"/>
      <c r="IC64" s="9"/>
      <c r="ID64" s="7"/>
      <c r="IE64" s="58"/>
      <c r="IF64" s="7"/>
      <c r="IG64" s="58"/>
      <c r="IH64" s="7"/>
      <c r="II64" s="58"/>
      <c r="IJ64" s="20"/>
      <c r="IK64" s="21"/>
      <c r="IL64" s="22"/>
      <c r="IM64" s="7"/>
      <c r="IN64" s="7"/>
      <c r="IO64" s="9"/>
      <c r="IP64" s="2"/>
      <c r="IQ64" s="20"/>
      <c r="IR64" s="12"/>
      <c r="IS64" s="13"/>
      <c r="IT64" s="12"/>
      <c r="IU64" s="22"/>
      <c r="IV64" s="7"/>
      <c r="IW64" s="20"/>
      <c r="IX64" s="9"/>
      <c r="IY64" s="19"/>
      <c r="IZ64" s="12"/>
      <c r="JA64" s="18"/>
      <c r="JB64" s="7"/>
      <c r="JC64" s="230"/>
      <c r="JD64" s="9"/>
      <c r="JE64" s="19"/>
      <c r="JF64" s="7"/>
      <c r="JG64" s="20"/>
      <c r="JH64" s="58"/>
      <c r="JI64" s="2"/>
      <c r="JJ64" s="7"/>
      <c r="JK64" s="9"/>
      <c r="JL64" s="7"/>
      <c r="JM64" s="20"/>
      <c r="JN64" s="9"/>
      <c r="JO64" s="7"/>
      <c r="JP64" s="2"/>
      <c r="JQ64" s="20"/>
      <c r="JR64" s="58"/>
      <c r="JS64" s="20"/>
      <c r="JT64" s="20"/>
      <c r="JU64" s="57"/>
      <c r="JV64" s="2"/>
      <c r="JX64" s="2"/>
      <c r="JY64" s="57"/>
      <c r="JZ64" s="2"/>
      <c r="KA64" s="2"/>
      <c r="KB64" s="57"/>
      <c r="KD64" s="2"/>
      <c r="KE64" s="57"/>
      <c r="KG64" s="38"/>
      <c r="KH64" s="210"/>
      <c r="KI64" s="242"/>
      <c r="KJ64" s="243"/>
      <c r="KK64" s="62"/>
      <c r="KL64" s="210"/>
      <c r="KM64" s="314" t="s">
        <v>357</v>
      </c>
      <c r="KN64" s="314"/>
      <c r="KO64" s="232"/>
      <c r="KP64" s="28"/>
      <c r="KR64" s="38"/>
      <c r="KS64" s="52"/>
      <c r="KT64" s="38"/>
      <c r="KU64" s="52"/>
      <c r="KV64" s="38"/>
      <c r="KW64" s="128"/>
      <c r="KX64" s="25"/>
      <c r="KY64" s="38"/>
      <c r="KZ64" s="52"/>
      <c r="LA64" s="7"/>
      <c r="LC64" s="4"/>
      <c r="LD64" s="7"/>
      <c r="LE64" s="7"/>
      <c r="LG64" s="4"/>
      <c r="LI64" s="38"/>
      <c r="LJ64" s="52"/>
      <c r="LK64" s="2"/>
      <c r="LL64" s="38"/>
      <c r="LM64" s="57"/>
      <c r="LN64" s="310" t="s">
        <v>358</v>
      </c>
      <c r="LO64" s="310"/>
      <c r="LP64" s="7"/>
      <c r="LQ64" s="9"/>
      <c r="LR64" s="38"/>
      <c r="LS64" s="52"/>
      <c r="LT64" s="38"/>
      <c r="LU64" s="47"/>
      <c r="LV64" s="160"/>
      <c r="LY64" s="4"/>
      <c r="LZ64" s="20"/>
      <c r="MA64" s="5"/>
      <c r="MB64" s="203"/>
      <c r="MC64" s="25"/>
      <c r="MF64" s="4"/>
      <c r="MG64" s="7"/>
      <c r="MH64" s="7"/>
      <c r="MJ64" s="4"/>
    </row>
    <row r="65" spans="6:348" ht="17.25" customHeight="1">
      <c r="F65" s="311"/>
      <c r="G65" s="311"/>
      <c r="H65" s="7"/>
      <c r="I65" s="7"/>
      <c r="J65" s="32"/>
      <c r="K65" s="310" t="s">
        <v>359</v>
      </c>
      <c r="L65" s="310"/>
      <c r="M65" s="47"/>
      <c r="O65" s="49"/>
      <c r="P65" s="9"/>
      <c r="Q65" s="2"/>
      <c r="R65" s="46"/>
      <c r="S65" s="9"/>
      <c r="T65" s="2"/>
      <c r="U65" s="7"/>
      <c r="V65" s="9"/>
      <c r="W65" s="7"/>
      <c r="X65" s="7"/>
      <c r="Y65" s="7"/>
      <c r="AA65" s="346"/>
      <c r="AB65" s="346"/>
      <c r="AC65" s="346"/>
      <c r="AD65" s="80"/>
      <c r="AE65" s="346"/>
      <c r="AF65" s="346"/>
      <c r="AG65" s="25"/>
      <c r="AH65" s="80"/>
      <c r="AI65" s="346"/>
      <c r="AJ65" s="346"/>
      <c r="AK65" s="25"/>
      <c r="AL65" s="318"/>
      <c r="AM65" s="318"/>
      <c r="AN65" s="25"/>
      <c r="AO65" s="346"/>
      <c r="AP65" s="346"/>
      <c r="AQ65" s="25"/>
      <c r="AR65" s="56"/>
      <c r="AS65" s="346"/>
      <c r="AT65" s="346"/>
      <c r="AU65" s="197"/>
      <c r="AV65" s="346"/>
      <c r="AW65" s="346"/>
      <c r="AX65" s="346"/>
      <c r="AY65" s="318"/>
      <c r="AZ65" s="318"/>
      <c r="BA65" s="318"/>
      <c r="BB65" s="327"/>
      <c r="BC65" s="327"/>
      <c r="BD65" s="197"/>
      <c r="BF65" s="329" t="s">
        <v>360</v>
      </c>
      <c r="BG65" s="329"/>
      <c r="BH65" s="47" t="s">
        <v>273</v>
      </c>
      <c r="BI65" s="46"/>
      <c r="BJ65" s="2"/>
      <c r="BK65" s="57"/>
      <c r="BL65" s="2"/>
      <c r="BM65" s="46"/>
      <c r="BN65" s="329" t="s">
        <v>361</v>
      </c>
      <c r="BO65" s="329"/>
      <c r="BP65" s="23" t="s">
        <v>354</v>
      </c>
      <c r="BQ65" s="108"/>
      <c r="BR65" s="2"/>
      <c r="BS65" s="57"/>
      <c r="BT65" s="2"/>
      <c r="BU65" s="108"/>
      <c r="BV65" s="2"/>
      <c r="BW65" s="57"/>
      <c r="BX65" s="2"/>
      <c r="BY65" s="46"/>
      <c r="BZ65" s="46"/>
      <c r="CA65" s="66"/>
      <c r="CB65" s="46"/>
      <c r="CC65" s="46"/>
      <c r="CD65" s="329" t="s">
        <v>362</v>
      </c>
      <c r="CE65" s="329"/>
      <c r="CF65" s="236" t="s">
        <v>363</v>
      </c>
      <c r="CG65" s="7"/>
      <c r="CH65" s="7"/>
      <c r="CI65" s="66"/>
      <c r="CJ65" s="46"/>
      <c r="CK65" s="2"/>
      <c r="CL65" s="57"/>
      <c r="CM65" s="2"/>
      <c r="CN65" s="2"/>
      <c r="CO65" s="46"/>
      <c r="CP65" s="66"/>
      <c r="CQ65" s="46"/>
      <c r="CR65" s="7"/>
      <c r="CS65" s="9"/>
      <c r="CT65" s="46"/>
      <c r="CU65" s="46"/>
      <c r="CV65" s="143"/>
      <c r="CW65" s="66"/>
      <c r="CX65" s="46"/>
      <c r="CY65" s="46"/>
      <c r="CZ65" s="2"/>
      <c r="DA65" s="57"/>
      <c r="DB65" s="2"/>
      <c r="DC65" s="46"/>
      <c r="DD65" s="46"/>
      <c r="DE65" s="66"/>
      <c r="DF65" s="46"/>
      <c r="DG65" s="2"/>
      <c r="DH65" s="2"/>
      <c r="DI65" s="57"/>
      <c r="DJ65" s="2"/>
      <c r="DK65" s="2"/>
      <c r="DL65" s="46"/>
      <c r="DM65" s="66"/>
      <c r="DN65" s="46"/>
      <c r="DO65" s="2"/>
      <c r="DP65" s="46"/>
      <c r="DQ65" s="66"/>
      <c r="DR65" s="46"/>
      <c r="DS65" s="46"/>
      <c r="DT65" s="2"/>
      <c r="DU65" s="57"/>
      <c r="DV65" s="2"/>
      <c r="DW65" s="46"/>
      <c r="DX65" s="49"/>
      <c r="DY65" s="237"/>
      <c r="DZ65" s="49"/>
      <c r="EA65" s="49"/>
      <c r="EB65" s="2"/>
      <c r="EC65" s="57"/>
      <c r="ED65" s="2"/>
      <c r="EE65" s="46"/>
      <c r="EF65" s="46"/>
      <c r="EG65" s="237"/>
      <c r="EH65" s="49"/>
      <c r="EI65" s="49"/>
      <c r="EJ65" s="49"/>
      <c r="EK65" s="66"/>
      <c r="EL65" s="46"/>
      <c r="EM65" s="46"/>
      <c r="EN65" s="46"/>
      <c r="EO65" s="66"/>
      <c r="EP65" s="46"/>
      <c r="EQ65" s="46"/>
      <c r="ER65" s="49"/>
      <c r="ES65" s="9"/>
      <c r="ET65" s="49"/>
      <c r="EU65" s="49"/>
      <c r="EV65" s="2"/>
      <c r="EW65" s="57"/>
      <c r="EX65" s="2"/>
      <c r="EY65" s="28"/>
      <c r="EZ65" s="47"/>
      <c r="FB65" s="4"/>
      <c r="FD65" s="2"/>
      <c r="FE65" s="2"/>
      <c r="FF65" s="57"/>
      <c r="FG65" s="2"/>
      <c r="FH65" s="2"/>
      <c r="FI65" s="9"/>
      <c r="FJ65" s="7"/>
      <c r="FK65" s="23"/>
      <c r="FL65" s="30"/>
      <c r="FM65" s="23"/>
      <c r="FN65" s="2"/>
      <c r="FO65" s="57"/>
      <c r="FP65" s="2"/>
      <c r="FQ65" s="2"/>
      <c r="FR65" s="57"/>
      <c r="FS65" s="2"/>
      <c r="FT65" s="2"/>
      <c r="FU65" s="4"/>
      <c r="FY65" s="4"/>
      <c r="FZ65" s="2"/>
      <c r="GB65" s="4"/>
      <c r="GC65" s="108"/>
      <c r="GD65" s="7"/>
      <c r="GE65" s="54"/>
      <c r="GF65" s="2"/>
      <c r="GG65" s="31"/>
      <c r="GH65" s="54"/>
      <c r="GI65" s="2"/>
      <c r="GJ65" s="57"/>
      <c r="GK65" s="5"/>
      <c r="GM65" s="4"/>
      <c r="GP65" s="39"/>
      <c r="GQ65" s="244"/>
      <c r="GR65" s="39"/>
      <c r="GS65" s="244"/>
      <c r="GT65" s="245"/>
      <c r="GU65" s="19"/>
      <c r="GV65" s="7"/>
      <c r="GW65" s="7"/>
      <c r="GX65" s="9"/>
      <c r="GY65" s="19"/>
      <c r="GZ65" s="7"/>
      <c r="HA65" s="7"/>
      <c r="HB65" s="9"/>
      <c r="HC65" s="19"/>
      <c r="HD65" s="9"/>
      <c r="HE65" s="7"/>
      <c r="HF65" s="9"/>
      <c r="HG65" s="19"/>
      <c r="HH65" s="7"/>
      <c r="HI65" s="7"/>
      <c r="HJ65" s="7"/>
      <c r="HK65" s="12"/>
      <c r="HL65" s="18"/>
      <c r="HM65" s="7"/>
      <c r="HN65" s="239"/>
      <c r="HO65" s="240"/>
      <c r="HP65" s="241"/>
      <c r="HQ65" s="240"/>
      <c r="HR65" s="241"/>
      <c r="HS65" s="239"/>
      <c r="HT65" s="239"/>
      <c r="HU65" s="7"/>
      <c r="HV65" s="9"/>
      <c r="HW65" s="19"/>
      <c r="HX65" s="7"/>
      <c r="HY65" s="7"/>
      <c r="HZ65" s="9"/>
      <c r="IA65" s="7"/>
      <c r="IB65" s="97"/>
      <c r="IC65" s="9"/>
      <c r="ID65" s="7"/>
      <c r="IE65" s="207"/>
      <c r="IF65" s="7"/>
      <c r="IG65" s="207"/>
      <c r="IH65" s="7"/>
      <c r="II65" s="58"/>
      <c r="IJ65" s="20"/>
      <c r="IK65" s="58"/>
      <c r="IL65" s="230"/>
      <c r="IM65" s="7"/>
      <c r="IN65" s="7"/>
      <c r="IO65" s="9"/>
      <c r="IP65" s="2"/>
      <c r="IQ65" s="29"/>
      <c r="IR65" s="9"/>
      <c r="IS65" s="7"/>
      <c r="IT65" s="9"/>
      <c r="IU65" s="97"/>
      <c r="IV65" s="9"/>
      <c r="IW65" s="29"/>
      <c r="IX65" s="9"/>
      <c r="IY65" s="19"/>
      <c r="IZ65" s="9"/>
      <c r="JA65" s="19"/>
      <c r="JB65" s="97"/>
      <c r="JC65" s="29"/>
      <c r="JD65" s="98"/>
      <c r="JE65" s="19"/>
      <c r="JF65" s="7"/>
      <c r="JG65" s="29"/>
      <c r="JH65" s="207"/>
      <c r="JI65" s="2"/>
      <c r="JJ65" s="7"/>
      <c r="JK65" s="9"/>
      <c r="JL65" s="7"/>
      <c r="JM65" s="29"/>
      <c r="JN65" s="9"/>
      <c r="JO65" s="7"/>
      <c r="JP65" s="2"/>
      <c r="JQ65" s="29"/>
      <c r="JR65" s="207"/>
      <c r="JS65" s="29"/>
      <c r="JT65" s="29"/>
      <c r="JU65" s="57"/>
      <c r="JV65" s="2"/>
      <c r="JX65" s="7"/>
      <c r="JY65" s="9"/>
      <c r="JZ65" s="2"/>
      <c r="KA65" s="2"/>
      <c r="KB65" s="57"/>
      <c r="KD65" s="2"/>
      <c r="KE65" s="57"/>
      <c r="KG65" s="38"/>
      <c r="KH65" s="210"/>
      <c r="KI65" s="314" t="s">
        <v>364</v>
      </c>
      <c r="KJ65" s="314"/>
      <c r="KK65" s="2"/>
      <c r="KL65" s="57"/>
      <c r="KM65" s="197"/>
      <c r="KN65" s="223"/>
      <c r="KO65" s="325" t="s">
        <v>365</v>
      </c>
      <c r="KP65" s="325"/>
      <c r="KR65" s="318" t="s">
        <v>366</v>
      </c>
      <c r="KS65" s="318"/>
      <c r="KT65" s="318" t="s">
        <v>367</v>
      </c>
      <c r="KU65" s="318"/>
      <c r="KV65" s="38"/>
      <c r="KW65" s="52"/>
      <c r="KX65" s="25"/>
      <c r="KY65" s="38"/>
      <c r="KZ65" s="52"/>
      <c r="LA65" s="7"/>
      <c r="LB65" s="38"/>
      <c r="LC65" s="52"/>
      <c r="LD65" s="7"/>
      <c r="LE65" s="7"/>
      <c r="LF65" s="318" t="s">
        <v>368</v>
      </c>
      <c r="LG65" s="318"/>
      <c r="LI65" s="2"/>
      <c r="LJ65" s="57"/>
      <c r="LK65" s="2"/>
      <c r="LL65" s="38"/>
      <c r="LM65" s="52"/>
      <c r="LP65" s="7"/>
      <c r="LQ65" s="9"/>
      <c r="LR65" s="7"/>
      <c r="LS65" s="9"/>
      <c r="LT65" s="38"/>
      <c r="LU65" s="329" t="s">
        <v>369</v>
      </c>
      <c r="LV65" s="329"/>
      <c r="LX65" s="344" t="s">
        <v>370</v>
      </c>
      <c r="LY65" s="318"/>
      <c r="LZ65" s="25"/>
      <c r="MA65" s="5"/>
      <c r="MB65" s="11"/>
      <c r="MC65" s="246"/>
      <c r="MF65" s="4"/>
      <c r="MG65" s="7"/>
      <c r="MH65" s="7"/>
      <c r="MI65" s="329" t="s">
        <v>371</v>
      </c>
      <c r="MJ65" s="329"/>
    </row>
    <row r="66" spans="6:348" ht="18" customHeight="1">
      <c r="F66" s="68"/>
      <c r="G66" s="247"/>
      <c r="H66" s="7"/>
      <c r="I66" s="7"/>
      <c r="J66" s="7"/>
      <c r="K66" s="342"/>
      <c r="L66" s="342"/>
      <c r="M66" s="249"/>
      <c r="P66" s="4"/>
      <c r="Q66" s="2"/>
      <c r="R66" s="49"/>
      <c r="S66" s="237"/>
      <c r="T66" s="2"/>
      <c r="U66" s="7"/>
      <c r="V66" s="9"/>
      <c r="W66" s="7"/>
      <c r="X66" s="7"/>
      <c r="Y66" s="7"/>
      <c r="AA66" s="29"/>
      <c r="AB66" s="207"/>
      <c r="AC66" s="29"/>
      <c r="AD66" s="20"/>
      <c r="AE66" s="29"/>
      <c r="AF66" s="207"/>
      <c r="AG66" s="29"/>
      <c r="AH66" s="20"/>
      <c r="AI66" s="29"/>
      <c r="AJ66" s="207"/>
      <c r="AK66" s="29"/>
      <c r="AL66" s="29"/>
      <c r="AM66" s="207"/>
      <c r="AN66" s="29"/>
      <c r="AO66" s="29"/>
      <c r="AP66" s="207"/>
      <c r="AQ66" s="29"/>
      <c r="AR66" s="182"/>
      <c r="AS66" s="29"/>
      <c r="AT66" s="207"/>
      <c r="AU66" s="7"/>
      <c r="AV66" s="29"/>
      <c r="AW66" s="207"/>
      <c r="AX66" s="7"/>
      <c r="AY66" s="7"/>
      <c r="AZ66" s="9"/>
      <c r="BA66" s="7"/>
      <c r="BB66" s="20"/>
      <c r="BC66" s="58"/>
      <c r="BD66" s="7"/>
      <c r="BF66" s="46"/>
      <c r="BG66" s="66"/>
      <c r="BH66" s="47"/>
      <c r="BI66" s="46"/>
      <c r="BJ66" s="2"/>
      <c r="BK66" s="57"/>
      <c r="BL66" s="2"/>
      <c r="BM66" s="46"/>
      <c r="BN66" s="46"/>
      <c r="BO66" s="66"/>
      <c r="BP66" s="23"/>
      <c r="BQ66" s="108"/>
      <c r="BR66" s="2"/>
      <c r="BS66" s="57"/>
      <c r="BT66" s="2"/>
      <c r="BU66" s="108"/>
      <c r="BV66" s="2"/>
      <c r="BW66" s="57"/>
      <c r="BX66" s="2"/>
      <c r="BY66" s="46"/>
      <c r="BZ66" s="46"/>
      <c r="CA66" s="66"/>
      <c r="CB66" s="46"/>
      <c r="CC66" s="46"/>
      <c r="CD66" s="46"/>
      <c r="CE66" s="66"/>
      <c r="CF66" s="236"/>
      <c r="CG66" s="7"/>
      <c r="CH66" s="7"/>
      <c r="CI66" s="66"/>
      <c r="CJ66" s="46"/>
      <c r="CK66" s="2"/>
      <c r="CL66" s="57"/>
      <c r="CM66" s="2"/>
      <c r="CN66" s="2"/>
      <c r="CO66" s="46"/>
      <c r="CP66" s="66"/>
      <c r="CQ66" s="46"/>
      <c r="CR66" s="7"/>
      <c r="CS66" s="9"/>
      <c r="CT66" s="46"/>
      <c r="CU66" s="46"/>
      <c r="CV66" s="143"/>
      <c r="CW66" s="66"/>
      <c r="CX66" s="46"/>
      <c r="CY66" s="46"/>
      <c r="CZ66" s="2"/>
      <c r="DA66" s="57"/>
      <c r="DB66" s="2"/>
      <c r="DC66" s="46"/>
      <c r="DD66" s="46"/>
      <c r="DE66" s="66"/>
      <c r="DF66" s="46"/>
      <c r="DG66" s="2"/>
      <c r="DH66" s="2"/>
      <c r="DI66" s="57"/>
      <c r="DJ66" s="2"/>
      <c r="DK66" s="2"/>
      <c r="DL66" s="46"/>
      <c r="DM66" s="66"/>
      <c r="DN66" s="46"/>
      <c r="DO66" s="2"/>
      <c r="DP66" s="46"/>
      <c r="DQ66" s="66"/>
      <c r="DR66" s="46"/>
      <c r="DS66" s="46"/>
      <c r="DT66" s="2"/>
      <c r="DU66" s="57"/>
      <c r="DV66" s="2"/>
      <c r="DW66" s="46"/>
      <c r="DX66" s="49"/>
      <c r="DY66" s="237"/>
      <c r="DZ66" s="49"/>
      <c r="EA66" s="49"/>
      <c r="EB66" s="2"/>
      <c r="EC66" s="57"/>
      <c r="ED66" s="2"/>
      <c r="EE66" s="46"/>
      <c r="EF66" s="46"/>
      <c r="EG66" s="237"/>
      <c r="EH66" s="49"/>
      <c r="EI66" s="49"/>
      <c r="EJ66" s="49"/>
      <c r="EK66" s="66"/>
      <c r="EL66" s="46"/>
      <c r="EM66" s="46"/>
      <c r="EN66" s="46"/>
      <c r="EO66" s="66"/>
      <c r="EP66" s="46"/>
      <c r="EQ66" s="46"/>
      <c r="ER66" s="49"/>
      <c r="ES66" s="9"/>
      <c r="ET66" s="49"/>
      <c r="EU66" s="49"/>
      <c r="EV66" s="2"/>
      <c r="EW66" s="57"/>
      <c r="EX66" s="2"/>
      <c r="EY66" s="28"/>
      <c r="EZ66" s="47"/>
      <c r="FB66" s="4"/>
      <c r="FD66" s="2"/>
      <c r="FE66" s="2"/>
      <c r="FF66" s="57"/>
      <c r="FG66" s="2"/>
      <c r="FH66" s="2"/>
      <c r="FI66" s="9"/>
      <c r="FJ66" s="7"/>
      <c r="FK66" s="23"/>
      <c r="FL66" s="30"/>
      <c r="FM66" s="23"/>
      <c r="FN66" s="2"/>
      <c r="FO66" s="57"/>
      <c r="FP66" s="2"/>
      <c r="FQ66" s="2"/>
      <c r="FR66" s="57"/>
      <c r="FS66" s="2"/>
      <c r="FT66" s="2"/>
      <c r="FU66" s="4"/>
      <c r="FV66" s="28"/>
      <c r="FY66" s="4"/>
      <c r="FZ66" s="20"/>
      <c r="GB66" s="4"/>
      <c r="GC66" s="23"/>
      <c r="GE66" s="4"/>
      <c r="GG66" s="250"/>
      <c r="GH66" s="57"/>
      <c r="GJ66" s="4"/>
      <c r="GK66" s="5"/>
      <c r="GM66" s="4"/>
      <c r="GN66" s="131"/>
      <c r="GO66" s="131"/>
      <c r="GQ66" s="4"/>
      <c r="GS66" s="4"/>
      <c r="GT66" s="177"/>
      <c r="GU66" s="310" t="s">
        <v>380</v>
      </c>
      <c r="GV66" s="310"/>
      <c r="GW66" s="314" t="s">
        <v>381</v>
      </c>
      <c r="GX66" s="314"/>
      <c r="GY66" s="314" t="s">
        <v>382</v>
      </c>
      <c r="GZ66" s="314"/>
      <c r="HA66" s="310" t="s">
        <v>332</v>
      </c>
      <c r="HB66" s="310"/>
      <c r="HC66" s="314" t="s">
        <v>383</v>
      </c>
      <c r="HD66" s="314"/>
      <c r="HE66" s="314" t="s">
        <v>354</v>
      </c>
      <c r="HF66" s="314"/>
      <c r="HG66" s="310" t="s">
        <v>384</v>
      </c>
      <c r="HH66" s="310"/>
      <c r="HI66" s="29"/>
      <c r="HJ66" s="310" t="s">
        <v>346</v>
      </c>
      <c r="HK66" s="310"/>
      <c r="HL66" s="310" t="s">
        <v>385</v>
      </c>
      <c r="HM66" s="310"/>
      <c r="HN66" s="318" t="s">
        <v>386</v>
      </c>
      <c r="HO66" s="318"/>
      <c r="HP66" s="318" t="s">
        <v>387</v>
      </c>
      <c r="HQ66" s="318"/>
      <c r="HR66" s="318" t="s">
        <v>388</v>
      </c>
      <c r="HS66" s="318"/>
      <c r="HT66" s="25"/>
      <c r="HU66" s="314" t="s">
        <v>271</v>
      </c>
      <c r="HV66" s="314"/>
      <c r="HW66" s="314" t="s">
        <v>389</v>
      </c>
      <c r="HX66" s="314"/>
      <c r="HY66" s="314" t="s">
        <v>277</v>
      </c>
      <c r="HZ66" s="314"/>
      <c r="IA66" s="20"/>
      <c r="IB66" s="314" t="s">
        <v>342</v>
      </c>
      <c r="IC66" s="314"/>
      <c r="ID66" s="314" t="s">
        <v>363</v>
      </c>
      <c r="IE66" s="314"/>
      <c r="IF66" s="314" t="s">
        <v>390</v>
      </c>
      <c r="IG66" s="314"/>
      <c r="IH66" s="314" t="s">
        <v>391</v>
      </c>
      <c r="II66" s="314"/>
      <c r="IJ66" s="314" t="s">
        <v>392</v>
      </c>
      <c r="IK66" s="314"/>
      <c r="IL66" s="314" t="s">
        <v>393</v>
      </c>
      <c r="IM66" s="314"/>
      <c r="IN66" s="314" t="s">
        <v>273</v>
      </c>
      <c r="IO66" s="314"/>
      <c r="IP66" s="2"/>
      <c r="IQ66" s="314" t="s">
        <v>394</v>
      </c>
      <c r="IR66" s="314"/>
      <c r="IS66" s="314" t="s">
        <v>395</v>
      </c>
      <c r="IT66" s="314"/>
      <c r="IU66" s="314" t="s">
        <v>396</v>
      </c>
      <c r="IV66" s="314"/>
      <c r="IW66" s="314" t="s">
        <v>397</v>
      </c>
      <c r="IX66" s="314"/>
      <c r="IY66" s="314" t="s">
        <v>398</v>
      </c>
      <c r="IZ66" s="314"/>
      <c r="JA66" s="314" t="s">
        <v>399</v>
      </c>
      <c r="JB66" s="314"/>
      <c r="JC66" s="314" t="s">
        <v>400</v>
      </c>
      <c r="JD66" s="314"/>
      <c r="JE66" s="314" t="s">
        <v>401</v>
      </c>
      <c r="JF66" s="314"/>
      <c r="JG66" s="314" t="s">
        <v>402</v>
      </c>
      <c r="JH66" s="314"/>
      <c r="JI66" s="2"/>
      <c r="JJ66" s="314" t="s">
        <v>403</v>
      </c>
      <c r="JK66" s="314"/>
      <c r="JL66" s="7"/>
      <c r="JM66" s="314" t="s">
        <v>404</v>
      </c>
      <c r="JN66" s="314"/>
      <c r="JO66" s="7"/>
      <c r="JP66" s="2"/>
      <c r="JQ66" s="314" t="s">
        <v>405</v>
      </c>
      <c r="JR66" s="314"/>
      <c r="JS66" s="7"/>
      <c r="JT66" s="314" t="s">
        <v>406</v>
      </c>
      <c r="JU66" s="314"/>
      <c r="JV66" s="2"/>
      <c r="JX66" s="25"/>
      <c r="JY66" s="128"/>
      <c r="JZ66" s="2"/>
      <c r="KA66" s="2"/>
      <c r="KB66" s="57"/>
      <c r="KD66" s="2"/>
      <c r="KE66" s="57"/>
      <c r="KG66" s="38"/>
      <c r="KH66" s="210"/>
      <c r="KI66" s="38"/>
      <c r="KJ66" s="52"/>
      <c r="KK66" s="38"/>
      <c r="KL66" s="52"/>
      <c r="KM66" s="38"/>
      <c r="KN66" s="52"/>
      <c r="KO66" s="38"/>
      <c r="KP66" s="52"/>
      <c r="KS66" s="4"/>
      <c r="KT66" s="38"/>
      <c r="KU66" s="62"/>
      <c r="KW66" s="4"/>
      <c r="KX66" s="62"/>
      <c r="KZ66" s="4"/>
      <c r="LA66" s="7"/>
      <c r="LC66" s="4"/>
      <c r="LD66" s="7"/>
      <c r="LE66" s="7"/>
      <c r="LG66" s="4"/>
      <c r="LJ66" s="4"/>
      <c r="LK66" s="2"/>
      <c r="LL66" s="38"/>
      <c r="LM66" s="52"/>
      <c r="LN66" s="38"/>
      <c r="LO66" s="38"/>
      <c r="LQ66" s="4"/>
      <c r="LR66" s="7"/>
      <c r="LS66" s="9"/>
      <c r="LT66" s="38"/>
      <c r="LU66" s="38"/>
      <c r="LV66" s="52"/>
      <c r="LX66" s="314" t="s">
        <v>407</v>
      </c>
      <c r="LY66" s="314"/>
      <c r="LZ66" s="25"/>
      <c r="MA66" s="5"/>
      <c r="MC66" s="4"/>
      <c r="MF66" s="4"/>
      <c r="MG66" s="38"/>
      <c r="MH66" s="38"/>
      <c r="MI66" s="38"/>
      <c r="MJ66" s="52"/>
    </row>
    <row r="67" spans="6:348" ht="17.25" customHeight="1">
      <c r="F67" s="35"/>
      <c r="G67" s="247"/>
      <c r="H67" s="35"/>
      <c r="I67" s="28"/>
      <c r="J67" s="28"/>
      <c r="K67" s="342"/>
      <c r="L67" s="342"/>
      <c r="M67" s="7"/>
      <c r="P67" s="4"/>
      <c r="Q67" s="2"/>
      <c r="R67" s="49"/>
      <c r="S67" s="237"/>
      <c r="T67" s="2"/>
      <c r="U67" s="7"/>
      <c r="V67" s="9"/>
      <c r="W67" s="7"/>
      <c r="X67" s="7"/>
      <c r="Y67" s="7" t="s">
        <v>408</v>
      </c>
      <c r="AA67" s="28"/>
      <c r="AB67" s="210"/>
      <c r="AC67" s="20"/>
      <c r="AD67" s="20"/>
      <c r="AE67" s="7"/>
      <c r="AF67" s="9"/>
      <c r="AG67" s="7"/>
      <c r="AH67" s="20"/>
      <c r="AI67" s="28"/>
      <c r="AJ67" s="210"/>
      <c r="AK67" s="251"/>
      <c r="AL67" s="7"/>
      <c r="AM67" s="9"/>
      <c r="AN67" s="7"/>
      <c r="AO67" s="7"/>
      <c r="AP67" s="9"/>
      <c r="AQ67" s="7"/>
      <c r="AR67" s="252"/>
      <c r="AS67" s="343" t="s">
        <v>409</v>
      </c>
      <c r="AT67" s="343"/>
      <c r="AU67" s="29" t="s">
        <v>363</v>
      </c>
      <c r="AV67" s="28"/>
      <c r="AW67" s="210"/>
      <c r="AX67" s="7"/>
      <c r="AY67" s="7"/>
      <c r="AZ67" s="9"/>
      <c r="BA67" s="7"/>
      <c r="BB67" s="28"/>
      <c r="BC67" s="210"/>
      <c r="BD67" s="7"/>
      <c r="BF67" s="310" t="s">
        <v>410</v>
      </c>
      <c r="BG67" s="310"/>
      <c r="BH67" s="28" t="s">
        <v>273</v>
      </c>
      <c r="BI67" s="7"/>
      <c r="BJ67" s="310" t="s">
        <v>411</v>
      </c>
      <c r="BK67" s="310"/>
      <c r="BL67" s="68" t="s">
        <v>412</v>
      </c>
      <c r="BM67" s="68"/>
      <c r="BN67" s="2"/>
      <c r="BO67" s="57"/>
      <c r="BP67" s="2"/>
      <c r="BQ67" s="31"/>
      <c r="BR67" s="324" t="s">
        <v>413</v>
      </c>
      <c r="BS67" s="324"/>
      <c r="BT67" s="31" t="s">
        <v>336</v>
      </c>
      <c r="BU67" s="31"/>
      <c r="BV67" s="329" t="s">
        <v>414</v>
      </c>
      <c r="BW67" s="329"/>
      <c r="BX67" s="31" t="s">
        <v>338</v>
      </c>
      <c r="BY67" s="7"/>
      <c r="BZ67" s="310" t="s">
        <v>415</v>
      </c>
      <c r="CA67" s="310"/>
      <c r="CB67" s="23" t="s">
        <v>393</v>
      </c>
      <c r="CC67" s="46"/>
      <c r="CD67" s="329" t="s">
        <v>416</v>
      </c>
      <c r="CE67" s="329"/>
      <c r="CF67" s="108" t="s">
        <v>363</v>
      </c>
      <c r="CG67" s="7"/>
      <c r="CH67" s="310" t="s">
        <v>417</v>
      </c>
      <c r="CI67" s="310"/>
      <c r="CJ67" s="236" t="s">
        <v>401</v>
      </c>
      <c r="CK67" s="310" t="s">
        <v>418</v>
      </c>
      <c r="CL67" s="310"/>
      <c r="CM67" s="68" t="s">
        <v>419</v>
      </c>
      <c r="CN67" s="2"/>
      <c r="CO67" s="310" t="s">
        <v>420</v>
      </c>
      <c r="CP67" s="310"/>
      <c r="CQ67" s="28" t="s">
        <v>421</v>
      </c>
      <c r="CR67" s="329" t="s">
        <v>422</v>
      </c>
      <c r="CS67" s="329"/>
      <c r="CT67" s="23" t="s">
        <v>342</v>
      </c>
      <c r="CU67" s="7"/>
      <c r="CV67" s="338" t="s">
        <v>423</v>
      </c>
      <c r="CW67" s="338"/>
      <c r="CX67" s="23" t="s">
        <v>424</v>
      </c>
      <c r="CY67" s="253"/>
      <c r="CZ67" s="310" t="s">
        <v>425</v>
      </c>
      <c r="DA67" s="310"/>
      <c r="DB67" s="236" t="s">
        <v>344</v>
      </c>
      <c r="DC67" s="254"/>
      <c r="DD67" s="7"/>
      <c r="DE67" s="9"/>
      <c r="DF67" s="7"/>
      <c r="DG67" s="2"/>
      <c r="DH67" s="329" t="s">
        <v>426</v>
      </c>
      <c r="DI67" s="329"/>
      <c r="DJ67" s="236" t="s">
        <v>427</v>
      </c>
      <c r="DK67" s="49"/>
      <c r="DL67" s="329" t="s">
        <v>428</v>
      </c>
      <c r="DM67" s="329"/>
      <c r="DN67" s="31" t="s">
        <v>277</v>
      </c>
      <c r="DO67" s="2"/>
      <c r="DP67" s="329" t="s">
        <v>429</v>
      </c>
      <c r="DQ67" s="329"/>
      <c r="DR67" s="31" t="s">
        <v>389</v>
      </c>
      <c r="DS67" s="56"/>
      <c r="DT67" s="310" t="s">
        <v>430</v>
      </c>
      <c r="DU67" s="310"/>
      <c r="DV67" s="31" t="s">
        <v>271</v>
      </c>
      <c r="DW67" s="71"/>
      <c r="DX67" s="310" t="s">
        <v>431</v>
      </c>
      <c r="DY67" s="310"/>
      <c r="DZ67" s="31" t="s">
        <v>385</v>
      </c>
      <c r="EA67" s="56"/>
      <c r="EB67" s="2"/>
      <c r="EC67" s="57"/>
      <c r="ED67" s="2"/>
      <c r="EE67" s="7"/>
      <c r="EF67" s="7"/>
      <c r="EG67" s="255"/>
      <c r="EH67" s="56"/>
      <c r="EI67" s="56"/>
      <c r="EJ67" s="312" t="s">
        <v>432</v>
      </c>
      <c r="EK67" s="312"/>
      <c r="EL67" s="23" t="s">
        <v>352</v>
      </c>
      <c r="EM67" s="7"/>
      <c r="EO67" s="4"/>
      <c r="EQ67" s="7"/>
      <c r="ER67" s="310" t="s">
        <v>433</v>
      </c>
      <c r="ES67" s="310"/>
      <c r="ET67" s="23" t="s">
        <v>398</v>
      </c>
      <c r="EU67" s="23"/>
      <c r="EW67" s="4"/>
      <c r="EY67" s="2"/>
      <c r="EZ67" s="2"/>
      <c r="FB67" s="4"/>
      <c r="FD67" s="23"/>
      <c r="FE67" s="310" t="s">
        <v>434</v>
      </c>
      <c r="FF67" s="310"/>
      <c r="FG67" s="23" t="s">
        <v>346</v>
      </c>
      <c r="FH67" s="2"/>
      <c r="FI67" s="209"/>
      <c r="FJ67" s="2"/>
      <c r="FK67" s="310" t="s">
        <v>435</v>
      </c>
      <c r="FL67" s="310"/>
      <c r="FM67" s="23" t="s">
        <v>277</v>
      </c>
      <c r="FN67" s="310" t="s">
        <v>436</v>
      </c>
      <c r="FO67" s="310"/>
      <c r="FP67" s="31" t="s">
        <v>437</v>
      </c>
      <c r="FR67" s="4"/>
      <c r="FT67" s="310" t="s">
        <v>438</v>
      </c>
      <c r="FU67" s="310"/>
      <c r="FV67" s="28" t="s">
        <v>342</v>
      </c>
      <c r="FX67" s="23" t="s">
        <v>439</v>
      </c>
      <c r="FY67" s="28" t="s">
        <v>275</v>
      </c>
      <c r="GA67" s="28" t="s">
        <v>372</v>
      </c>
      <c r="GB67" s="23" t="s">
        <v>363</v>
      </c>
      <c r="GC67" s="28"/>
      <c r="GD67" s="23" t="s">
        <v>373</v>
      </c>
      <c r="GE67" s="108" t="s">
        <v>374</v>
      </c>
      <c r="GF67" s="2"/>
      <c r="GG67" s="256"/>
      <c r="GH67" s="66"/>
      <c r="GI67" s="23" t="s">
        <v>375</v>
      </c>
      <c r="GJ67" s="23" t="s">
        <v>376</v>
      </c>
      <c r="GM67" s="4"/>
      <c r="GN67" s="5"/>
      <c r="GO67" s="5"/>
      <c r="GP67" s="109"/>
      <c r="GQ67" s="257"/>
      <c r="GR67" s="109"/>
      <c r="GS67" s="257"/>
      <c r="GT67" s="258"/>
      <c r="GU67" s="205"/>
      <c r="GV67" s="340"/>
      <c r="GW67" s="341"/>
      <c r="GX67" s="259"/>
      <c r="GY67" s="259"/>
      <c r="GZ67" s="260"/>
      <c r="HA67" s="205"/>
      <c r="HB67" s="29"/>
      <c r="HC67" s="19"/>
      <c r="HD67" s="259"/>
      <c r="HE67" s="19"/>
      <c r="HF67" s="259"/>
      <c r="HG67" s="205"/>
      <c r="HH67" s="7"/>
      <c r="HI67" s="7"/>
      <c r="HJ67" s="19"/>
      <c r="HK67" s="7"/>
      <c r="HL67" s="205"/>
      <c r="HM67" s="58"/>
      <c r="HN67" s="7"/>
      <c r="HO67" s="58"/>
      <c r="HP67" s="20"/>
      <c r="HQ67" s="58"/>
      <c r="HR67" s="20"/>
      <c r="HS67" s="58"/>
      <c r="HT67" s="20"/>
      <c r="HU67" s="7"/>
      <c r="HV67" s="207"/>
      <c r="HW67" s="19"/>
      <c r="HX67" s="20"/>
      <c r="HY67" s="19"/>
      <c r="HZ67" s="7"/>
      <c r="IA67" s="7"/>
      <c r="IB67" s="19"/>
      <c r="IC67" s="7"/>
      <c r="ID67" s="232"/>
      <c r="IE67" s="28"/>
      <c r="IF67" s="19"/>
      <c r="IG67" s="7"/>
      <c r="IH67" s="19"/>
      <c r="II67" s="7"/>
      <c r="IJ67" s="19"/>
      <c r="IK67" s="7"/>
      <c r="IL67" s="19"/>
      <c r="IM67" s="7"/>
      <c r="IN67" s="19"/>
      <c r="IO67" s="7"/>
      <c r="IP67" s="2"/>
      <c r="IQ67" s="230"/>
      <c r="IR67" s="7"/>
      <c r="IS67" s="19"/>
      <c r="IT67" s="7"/>
      <c r="IU67" s="261"/>
      <c r="IV67" s="210"/>
      <c r="IW67" s="232"/>
      <c r="IX67" s="7"/>
      <c r="IY67" s="19"/>
      <c r="IZ67" s="7"/>
      <c r="JA67" s="230"/>
      <c r="JB67" s="7"/>
      <c r="JC67" s="19"/>
      <c r="JD67" s="7"/>
      <c r="JE67" s="19"/>
      <c r="JF67" s="7"/>
      <c r="JG67" s="19"/>
      <c r="JH67" s="20"/>
      <c r="JI67" s="2"/>
      <c r="JJ67" s="230"/>
      <c r="JK67" s="7"/>
      <c r="JL67" s="7"/>
      <c r="JM67" s="19"/>
      <c r="JN67" s="340"/>
      <c r="JO67" s="314"/>
      <c r="JP67" s="2"/>
      <c r="JQ67" s="29"/>
      <c r="JR67" s="207"/>
      <c r="JS67" s="28"/>
      <c r="JT67" s="28"/>
      <c r="JU67" s="210"/>
      <c r="JV67" s="2"/>
      <c r="JX67" s="25"/>
      <c r="JY67" s="128"/>
      <c r="JZ67" s="2"/>
      <c r="KA67" s="2"/>
      <c r="KB67" s="57"/>
      <c r="KD67" s="2"/>
      <c r="KE67" s="57"/>
      <c r="KH67" s="4"/>
      <c r="KI67" s="232"/>
      <c r="KJ67" s="28"/>
      <c r="KL67" s="4"/>
      <c r="KM67" s="232"/>
      <c r="KN67" s="28"/>
      <c r="KP67" s="4"/>
      <c r="KS67" s="4"/>
      <c r="KT67" s="38"/>
      <c r="KU67" s="25"/>
      <c r="KV67" s="97"/>
      <c r="KW67" s="98"/>
      <c r="KX67" s="25"/>
      <c r="KZ67" s="4"/>
      <c r="LA67" s="7"/>
      <c r="LC67" s="4"/>
      <c r="LD67" s="7"/>
      <c r="LE67" s="7"/>
      <c r="LF67" s="38"/>
      <c r="LG67" s="52"/>
      <c r="LJ67" s="4"/>
      <c r="LK67" s="2"/>
      <c r="LM67" s="4"/>
      <c r="LN67" s="38"/>
      <c r="LO67" s="38"/>
      <c r="LP67" s="38"/>
      <c r="LQ67" s="52"/>
      <c r="LS67" s="4"/>
      <c r="LT67" s="38"/>
      <c r="LV67" s="4"/>
      <c r="LX67" s="5"/>
      <c r="LY67" s="26"/>
      <c r="LZ67" s="5"/>
      <c r="MA67" s="5"/>
      <c r="MC67" s="4"/>
      <c r="MF67" s="4"/>
      <c r="MJ67" s="4"/>
    </row>
    <row r="68" spans="6:348" ht="17.25" customHeight="1">
      <c r="F68" s="35"/>
      <c r="G68" s="35"/>
      <c r="H68" s="35"/>
      <c r="I68" s="310"/>
      <c r="J68" s="310"/>
      <c r="K68" s="2"/>
      <c r="L68" s="2"/>
      <c r="M68" s="7"/>
      <c r="O68" s="310" t="s">
        <v>443</v>
      </c>
      <c r="P68" s="310"/>
      <c r="Q68" s="2"/>
      <c r="R68" s="312" t="s">
        <v>444</v>
      </c>
      <c r="S68" s="312"/>
      <c r="T68" s="2"/>
      <c r="U68" s="310" t="s">
        <v>445</v>
      </c>
      <c r="V68" s="310"/>
      <c r="W68" s="7"/>
      <c r="X68" s="7"/>
      <c r="Y68" s="7"/>
      <c r="AA68" s="38"/>
      <c r="AB68" s="52"/>
      <c r="AC68" s="38"/>
      <c r="AD68" s="262"/>
      <c r="AE68" s="7"/>
      <c r="AF68" s="9"/>
      <c r="AG68" s="7"/>
      <c r="AH68" s="20"/>
      <c r="AI68" s="38"/>
      <c r="AJ68" s="52"/>
      <c r="AK68" s="38"/>
      <c r="AL68" s="310" t="s">
        <v>446</v>
      </c>
      <c r="AM68" s="310"/>
      <c r="AN68" s="28" t="s">
        <v>380</v>
      </c>
      <c r="AO68" s="310" t="s">
        <v>447</v>
      </c>
      <c r="AP68" s="310"/>
      <c r="AQ68" s="7" t="s">
        <v>346</v>
      </c>
      <c r="AR68" s="29"/>
      <c r="AS68" s="39"/>
      <c r="AT68" s="244"/>
      <c r="AU68" s="39"/>
      <c r="AV68" s="38"/>
      <c r="AW68" s="52"/>
      <c r="AX68" s="38"/>
      <c r="AY68" s="7"/>
      <c r="AZ68" s="9"/>
      <c r="BA68" s="7"/>
      <c r="BB68" s="7"/>
      <c r="BC68" s="9"/>
      <c r="BD68" s="7"/>
      <c r="BF68" s="310" t="s">
        <v>448</v>
      </c>
      <c r="BG68" s="310"/>
      <c r="BH68" s="28" t="s">
        <v>273</v>
      </c>
      <c r="BI68" s="7"/>
      <c r="BK68" s="4"/>
      <c r="BM68" s="7"/>
      <c r="BN68" s="7"/>
      <c r="BO68" s="9"/>
      <c r="BP68" s="7"/>
      <c r="BQ68" s="7"/>
      <c r="BR68" s="7"/>
      <c r="BS68" s="9"/>
      <c r="BT68" s="7"/>
      <c r="BU68" s="7"/>
      <c r="BV68" s="338" t="s">
        <v>449</v>
      </c>
      <c r="BW68" s="338"/>
      <c r="BX68" s="236" t="s">
        <v>338</v>
      </c>
      <c r="BY68" s="20"/>
      <c r="BZ68" s="2"/>
      <c r="CA68" s="57"/>
      <c r="CB68" s="2"/>
      <c r="CC68" s="7"/>
      <c r="CE68" s="4"/>
      <c r="CG68" s="7"/>
      <c r="CH68" s="338" t="s">
        <v>450</v>
      </c>
      <c r="CI68" s="338"/>
      <c r="CJ68" s="236" t="s">
        <v>401</v>
      </c>
      <c r="CK68" s="310" t="s">
        <v>451</v>
      </c>
      <c r="CL68" s="310"/>
      <c r="CM68" s="68" t="s">
        <v>452</v>
      </c>
      <c r="CN68" s="2"/>
      <c r="CP68" s="4"/>
      <c r="CQ68" s="7"/>
      <c r="CR68" s="310" t="s">
        <v>453</v>
      </c>
      <c r="CS68" s="310"/>
      <c r="CT68" s="28" t="s">
        <v>454</v>
      </c>
      <c r="CU68" s="7"/>
      <c r="CV68" s="2"/>
      <c r="CW68" s="57"/>
      <c r="CX68" s="2"/>
      <c r="CY68" s="7"/>
      <c r="CZ68" s="2"/>
      <c r="DA68" s="57"/>
      <c r="DB68" s="2"/>
      <c r="DC68" s="7"/>
      <c r="DD68" s="7"/>
      <c r="DE68" s="9"/>
      <c r="DF68" s="7"/>
      <c r="DG68" s="2"/>
      <c r="DH68" s="312" t="s">
        <v>455</v>
      </c>
      <c r="DI68" s="312"/>
      <c r="DJ68" s="23" t="s">
        <v>427</v>
      </c>
      <c r="DK68" s="7"/>
      <c r="DL68" s="329" t="s">
        <v>456</v>
      </c>
      <c r="DM68" s="329"/>
      <c r="DN68" s="263" t="s">
        <v>277</v>
      </c>
      <c r="DO68" s="2"/>
      <c r="DP68" s="310" t="s">
        <v>457</v>
      </c>
      <c r="DQ68" s="310"/>
      <c r="DR68" s="28" t="s">
        <v>458</v>
      </c>
      <c r="DS68" s="7"/>
      <c r="DT68" s="310" t="s">
        <v>459</v>
      </c>
      <c r="DU68" s="310"/>
      <c r="DV68" s="108" t="s">
        <v>271</v>
      </c>
      <c r="DW68" s="7"/>
      <c r="DX68" s="7"/>
      <c r="DY68" s="9"/>
      <c r="DZ68" s="7"/>
      <c r="EA68" s="7"/>
      <c r="EB68" s="2"/>
      <c r="EC68" s="57"/>
      <c r="ED68" s="2"/>
      <c r="EE68" s="7"/>
      <c r="EF68" s="7"/>
      <c r="EG68" s="9"/>
      <c r="EH68" s="7"/>
      <c r="EI68" s="7"/>
      <c r="EJ68" s="2"/>
      <c r="EK68" s="57"/>
      <c r="EL68" s="2"/>
      <c r="EM68" s="7"/>
      <c r="EN68" s="7"/>
      <c r="EO68" s="9"/>
      <c r="EP68" s="7"/>
      <c r="EQ68" s="7"/>
      <c r="ER68" s="2"/>
      <c r="ES68" s="57"/>
      <c r="ET68" s="2"/>
      <c r="EU68" s="236"/>
      <c r="EV68" s="35"/>
      <c r="EW68" s="113"/>
      <c r="EX68" s="35"/>
      <c r="EY68" s="2"/>
      <c r="EZ68" s="2"/>
      <c r="FB68" s="4"/>
      <c r="FF68" s="4"/>
      <c r="FI68" s="4"/>
      <c r="FK68" s="329" t="s">
        <v>460</v>
      </c>
      <c r="FL68" s="329"/>
      <c r="FM68" s="236" t="s">
        <v>427</v>
      </c>
      <c r="FN68" s="2"/>
      <c r="FO68" s="57"/>
      <c r="FP68" s="2"/>
      <c r="FQ68" s="28"/>
      <c r="FR68" s="210"/>
      <c r="FS68" s="28"/>
      <c r="FU68" s="4"/>
      <c r="FX68" s="56"/>
      <c r="FY68" s="66"/>
      <c r="FZ68" s="20"/>
      <c r="GA68" s="28" t="s">
        <v>440</v>
      </c>
      <c r="GB68" s="23" t="s">
        <v>338</v>
      </c>
      <c r="GC68" s="23"/>
      <c r="GD68" s="256"/>
      <c r="GE68" s="66"/>
      <c r="GF68" s="7"/>
      <c r="GG68" s="256"/>
      <c r="GH68" s="66"/>
      <c r="GI68" s="23" t="s">
        <v>441</v>
      </c>
      <c r="GJ68" s="23" t="s">
        <v>350</v>
      </c>
      <c r="GL68" s="339" t="s">
        <v>377</v>
      </c>
      <c r="GM68" s="339"/>
      <c r="GP68" s="332" t="s">
        <v>378</v>
      </c>
      <c r="GQ68" s="332"/>
      <c r="GR68" s="329" t="s">
        <v>379</v>
      </c>
      <c r="GS68" s="329"/>
      <c r="GT68" s="49"/>
      <c r="GU68" s="310" t="s">
        <v>462</v>
      </c>
      <c r="GV68" s="310"/>
      <c r="GW68" s="6"/>
      <c r="GX68" s="213"/>
      <c r="GY68" s="310" t="s">
        <v>463</v>
      </c>
      <c r="GZ68" s="310"/>
      <c r="HA68" s="318" t="s">
        <v>464</v>
      </c>
      <c r="HB68" s="318"/>
      <c r="HC68" s="318" t="s">
        <v>465</v>
      </c>
      <c r="HD68" s="318"/>
      <c r="HE68" s="310" t="s">
        <v>466</v>
      </c>
      <c r="HF68" s="310"/>
      <c r="HG68" s="310" t="s">
        <v>467</v>
      </c>
      <c r="HH68" s="310"/>
      <c r="HI68" s="29"/>
      <c r="HJ68" s="310" t="s">
        <v>468</v>
      </c>
      <c r="HK68" s="310"/>
      <c r="HL68" s="310" t="s">
        <v>469</v>
      </c>
      <c r="HM68" s="310"/>
      <c r="HN68" s="318" t="s">
        <v>470</v>
      </c>
      <c r="HO68" s="318"/>
      <c r="HQ68" s="4"/>
      <c r="HR68" s="310" t="s">
        <v>471</v>
      </c>
      <c r="HS68" s="310"/>
      <c r="HT68" s="29"/>
      <c r="HV68" s="4"/>
      <c r="HW68" s="318" t="s">
        <v>472</v>
      </c>
      <c r="HX68" s="318"/>
      <c r="HY68" s="318" t="s">
        <v>473</v>
      </c>
      <c r="HZ68" s="318"/>
      <c r="IA68" s="25"/>
      <c r="IB68" s="310" t="s">
        <v>474</v>
      </c>
      <c r="IC68" s="310"/>
      <c r="ID68" s="310" t="s">
        <v>475</v>
      </c>
      <c r="IE68" s="310"/>
      <c r="IF68" s="19"/>
      <c r="IG68" s="7"/>
      <c r="IH68" s="310" t="s">
        <v>476</v>
      </c>
      <c r="II68" s="310"/>
      <c r="IJ68" s="314" t="s">
        <v>477</v>
      </c>
      <c r="IK68" s="314"/>
      <c r="IL68" s="310" t="s">
        <v>478</v>
      </c>
      <c r="IM68" s="310"/>
      <c r="IN68" s="310" t="s">
        <v>479</v>
      </c>
      <c r="IO68" s="310"/>
      <c r="IP68" s="2"/>
      <c r="IQ68" s="310" t="s">
        <v>480</v>
      </c>
      <c r="IR68" s="310"/>
      <c r="IS68" s="314" t="s">
        <v>481</v>
      </c>
      <c r="IT68" s="314"/>
      <c r="IU68" s="310" t="s">
        <v>482</v>
      </c>
      <c r="IV68" s="310"/>
      <c r="IW68" s="310" t="s">
        <v>483</v>
      </c>
      <c r="IX68" s="310"/>
      <c r="IY68" s="318" t="s">
        <v>484</v>
      </c>
      <c r="IZ68" s="318"/>
      <c r="JA68" s="333" t="s">
        <v>485</v>
      </c>
      <c r="JB68" s="333"/>
      <c r="JC68" s="310" t="s">
        <v>486</v>
      </c>
      <c r="JD68" s="310"/>
      <c r="JE68" s="318" t="s">
        <v>487</v>
      </c>
      <c r="JF68" s="318"/>
      <c r="JG68" s="318" t="s">
        <v>488</v>
      </c>
      <c r="JH68" s="318"/>
      <c r="JI68" s="2"/>
      <c r="JJ68" s="264" t="s">
        <v>489</v>
      </c>
      <c r="JK68" s="264"/>
      <c r="JL68" s="28"/>
      <c r="JM68" s="264" t="s">
        <v>490</v>
      </c>
      <c r="JN68" s="265"/>
      <c r="JO68" s="265"/>
      <c r="JP68" s="2"/>
      <c r="JQ68" s="7" t="s">
        <v>491</v>
      </c>
      <c r="JR68" s="7"/>
      <c r="JS68" s="2"/>
      <c r="JT68" s="28" t="s">
        <v>492</v>
      </c>
      <c r="JU68" s="28"/>
      <c r="JV68" s="2"/>
      <c r="JX68" s="314" t="s">
        <v>493</v>
      </c>
      <c r="JY68" s="314"/>
      <c r="JZ68" s="2"/>
      <c r="KA68" s="310" t="s">
        <v>494</v>
      </c>
      <c r="KB68" s="310"/>
      <c r="KD68" s="310" t="s">
        <v>495</v>
      </c>
      <c r="KE68" s="310"/>
      <c r="KG68" s="310" t="s">
        <v>496</v>
      </c>
      <c r="KH68" s="310"/>
      <c r="KI68" s="38"/>
      <c r="KJ68" s="52"/>
      <c r="KK68" s="318" t="s">
        <v>497</v>
      </c>
      <c r="KL68" s="318"/>
      <c r="KM68" s="179"/>
      <c r="KN68" s="25"/>
      <c r="KO68" s="318" t="s">
        <v>498</v>
      </c>
      <c r="KP68" s="318"/>
      <c r="KS68" s="4"/>
      <c r="KW68" s="4"/>
      <c r="KZ68" s="4"/>
      <c r="LB68" s="318" t="s">
        <v>499</v>
      </c>
      <c r="LC68" s="318"/>
      <c r="LF68" s="318" t="s">
        <v>500</v>
      </c>
      <c r="LG68" s="318"/>
      <c r="LI68" s="318" t="s">
        <v>501</v>
      </c>
      <c r="LJ68" s="318"/>
      <c r="LK68" s="7"/>
      <c r="LL68" s="38"/>
      <c r="LM68" s="52"/>
      <c r="LN68" s="38"/>
      <c r="LO68" s="38"/>
      <c r="LP68" s="329" t="s">
        <v>502</v>
      </c>
      <c r="LQ68" s="329"/>
      <c r="LR68" s="38"/>
      <c r="LS68" s="52"/>
      <c r="LT68" s="38"/>
      <c r="LV68" s="4"/>
      <c r="LX68" s="318" t="s">
        <v>503</v>
      </c>
      <c r="LY68" s="318"/>
      <c r="LZ68" s="5"/>
      <c r="MA68" s="5"/>
      <c r="MB68" s="5"/>
      <c r="MC68" s="26"/>
      <c r="MF68" s="4"/>
      <c r="MI68" s="314" t="s">
        <v>504</v>
      </c>
      <c r="MJ68" s="314"/>
    </row>
    <row r="69" spans="6:348" ht="17.25" customHeight="1">
      <c r="F69" s="310" t="s">
        <v>505</v>
      </c>
      <c r="G69" s="310"/>
      <c r="H69" s="28" t="s">
        <v>506</v>
      </c>
      <c r="I69" s="310"/>
      <c r="J69" s="310"/>
      <c r="K69" s="6"/>
      <c r="L69" s="7"/>
      <c r="M69" s="2"/>
      <c r="Q69" s="2"/>
      <c r="R69" s="309"/>
      <c r="S69" s="309"/>
      <c r="T69" s="2"/>
      <c r="W69" s="7"/>
      <c r="X69" s="7"/>
      <c r="Y69" s="97"/>
      <c r="AA69" s="38"/>
      <c r="AB69" s="52"/>
      <c r="AC69" s="38"/>
      <c r="AD69" s="7"/>
      <c r="AE69" s="38"/>
      <c r="AF69" s="52"/>
      <c r="AG69" s="38"/>
      <c r="AH69" s="7"/>
      <c r="AI69" s="28"/>
      <c r="AJ69" s="210"/>
      <c r="AK69" s="29"/>
      <c r="AL69" s="38"/>
      <c r="AM69" s="52"/>
      <c r="AN69" s="38"/>
      <c r="AO69" s="38"/>
      <c r="AP69" s="52"/>
      <c r="AQ69" s="38"/>
      <c r="AR69" s="7"/>
      <c r="AS69" s="38"/>
      <c r="AT69" s="52"/>
      <c r="AU69" s="38"/>
      <c r="AV69" s="38"/>
      <c r="AW69" s="52"/>
      <c r="AX69" s="38"/>
      <c r="AY69" s="38"/>
      <c r="AZ69" s="52"/>
      <c r="BA69" s="38"/>
      <c r="BB69" s="28"/>
      <c r="BC69" s="210"/>
      <c r="BD69" s="28"/>
      <c r="BF69" s="35"/>
      <c r="BG69" s="113"/>
      <c r="BH69" s="35"/>
      <c r="BI69" s="7"/>
      <c r="BJ69" s="35"/>
      <c r="BK69" s="113"/>
      <c r="BL69" s="35"/>
      <c r="BM69" s="7"/>
      <c r="BN69" s="2"/>
      <c r="BO69" s="57"/>
      <c r="BP69" s="2"/>
      <c r="BQ69" s="7"/>
      <c r="BR69" s="35"/>
      <c r="BS69" s="113"/>
      <c r="BT69" s="35"/>
      <c r="BU69" s="7"/>
      <c r="BV69" s="312" t="s">
        <v>507</v>
      </c>
      <c r="BW69" s="312"/>
      <c r="BX69" s="23" t="s">
        <v>338</v>
      </c>
      <c r="BY69" s="7"/>
      <c r="BZ69" s="35"/>
      <c r="CA69" s="113"/>
      <c r="CB69" s="35"/>
      <c r="CC69" s="46"/>
      <c r="CE69" s="4"/>
      <c r="CG69" s="7"/>
      <c r="CI69" s="4"/>
      <c r="CK69" s="338" t="s">
        <v>508</v>
      </c>
      <c r="CL69" s="338"/>
      <c r="CM69" s="68" t="s">
        <v>452</v>
      </c>
      <c r="CN69" s="2"/>
      <c r="CO69" s="7"/>
      <c r="CP69" s="9"/>
      <c r="CQ69" s="141"/>
      <c r="CS69" s="4"/>
      <c r="CU69" s="7"/>
      <c r="CV69" s="143"/>
      <c r="CW69" s="66"/>
      <c r="CX69" s="7"/>
      <c r="CY69" s="7"/>
      <c r="CZ69" s="35"/>
      <c r="DA69" s="113"/>
      <c r="DB69" s="35"/>
      <c r="DC69" s="7"/>
      <c r="DD69" s="46"/>
      <c r="DE69" s="9"/>
      <c r="DF69" s="7"/>
      <c r="DG69" s="2"/>
      <c r="DH69" s="2"/>
      <c r="DI69" s="57"/>
      <c r="DJ69" s="2"/>
      <c r="DK69" s="7"/>
      <c r="DL69" s="2"/>
      <c r="DM69" s="57"/>
      <c r="DN69" s="2"/>
      <c r="DO69" s="2"/>
      <c r="DQ69" s="4"/>
      <c r="DS69" s="7"/>
      <c r="DT69" s="2"/>
      <c r="DU69" s="57"/>
      <c r="DV69" s="2"/>
      <c r="DW69" s="71"/>
      <c r="DX69" s="7"/>
      <c r="DY69" s="9"/>
      <c r="DZ69" s="7"/>
      <c r="EA69" s="7"/>
      <c r="EB69" s="2"/>
      <c r="EC69" s="57"/>
      <c r="ED69" s="2"/>
      <c r="EE69" s="7"/>
      <c r="EF69" s="2"/>
      <c r="EG69" s="57"/>
      <c r="EH69" s="2"/>
      <c r="EI69" s="141"/>
      <c r="EJ69" s="35"/>
      <c r="EK69" s="113"/>
      <c r="EL69" s="35"/>
      <c r="EM69" s="236"/>
      <c r="EN69" s="236"/>
      <c r="EO69" s="267"/>
      <c r="EP69" s="236"/>
      <c r="EQ69" s="7"/>
      <c r="ER69" s="35"/>
      <c r="ES69" s="113"/>
      <c r="ET69" s="35"/>
      <c r="EU69" s="35"/>
      <c r="EV69" s="35"/>
      <c r="EW69" s="113"/>
      <c r="EX69" s="35"/>
      <c r="EY69" s="155"/>
      <c r="EZ69" s="2"/>
      <c r="FB69" s="4"/>
      <c r="FF69" s="4"/>
      <c r="FI69" s="4"/>
      <c r="FL69" s="4"/>
      <c r="FO69" s="4"/>
      <c r="FR69" s="4"/>
      <c r="FU69" s="4"/>
      <c r="FY69" s="4"/>
      <c r="FZ69" s="31"/>
      <c r="GB69" s="4"/>
      <c r="GC69" s="23"/>
      <c r="GE69" s="4"/>
      <c r="GF69" s="11"/>
      <c r="GH69" s="4"/>
      <c r="GJ69" s="4"/>
      <c r="GL69" s="339" t="s">
        <v>442</v>
      </c>
      <c r="GM69" s="339"/>
      <c r="GP69" s="39"/>
      <c r="GQ69" s="244"/>
      <c r="GR69" s="39"/>
      <c r="GS69" s="244"/>
      <c r="GT69" s="268"/>
      <c r="GU69" s="318" t="s">
        <v>509</v>
      </c>
      <c r="GV69" s="318"/>
      <c r="GW69" s="230"/>
      <c r="GX69" s="239"/>
      <c r="GY69" s="239"/>
      <c r="GZ69" s="240"/>
      <c r="HB69" s="4"/>
      <c r="HC69" s="2"/>
      <c r="HD69" s="57"/>
      <c r="HE69" s="19"/>
      <c r="HF69" s="239"/>
      <c r="HG69" s="28"/>
      <c r="HH69" s="210"/>
      <c r="HI69" s="28"/>
      <c r="HJ69" s="318" t="s">
        <v>510</v>
      </c>
      <c r="HK69" s="318"/>
      <c r="HL69" s="179"/>
      <c r="HM69" s="20"/>
      <c r="HN69" s="2"/>
      <c r="HO69" s="57"/>
      <c r="HP69" s="20"/>
      <c r="HQ69" s="58"/>
      <c r="HR69" s="314" t="s">
        <v>511</v>
      </c>
      <c r="HS69" s="314"/>
      <c r="HT69" s="20"/>
      <c r="HU69" s="7"/>
      <c r="HV69" s="128"/>
      <c r="HW69" s="19"/>
      <c r="HX69" s="20"/>
      <c r="HY69" s="310" t="s">
        <v>512</v>
      </c>
      <c r="HZ69" s="310"/>
      <c r="IA69" s="29"/>
      <c r="IB69" s="323" t="s">
        <v>513</v>
      </c>
      <c r="IC69" s="323"/>
      <c r="ID69" s="327" t="s">
        <v>514</v>
      </c>
      <c r="IE69" s="327"/>
      <c r="IF69" s="19"/>
      <c r="IG69" s="7"/>
      <c r="IH69" s="310" t="s">
        <v>515</v>
      </c>
      <c r="II69" s="310"/>
      <c r="IJ69" s="19"/>
      <c r="IK69" s="7"/>
      <c r="IL69" s="310" t="s">
        <v>516</v>
      </c>
      <c r="IM69" s="310"/>
      <c r="IN69" s="310" t="s">
        <v>517</v>
      </c>
      <c r="IO69" s="310"/>
      <c r="IP69" s="2"/>
      <c r="IQ69" s="2"/>
      <c r="IR69" s="57"/>
      <c r="IS69" s="7"/>
      <c r="IT69" s="7"/>
      <c r="IU69" s="31"/>
      <c r="IV69" s="25"/>
      <c r="IY69" s="19"/>
      <c r="IZ69" s="7"/>
      <c r="JA69" s="20"/>
      <c r="JB69" s="7"/>
      <c r="JC69" s="314" t="s">
        <v>518</v>
      </c>
      <c r="JD69" s="314"/>
      <c r="JE69" s="314" t="s">
        <v>519</v>
      </c>
      <c r="JF69" s="314"/>
      <c r="JG69" s="2"/>
      <c r="JH69" s="57"/>
      <c r="JI69" s="2"/>
      <c r="JJ69" s="264" t="s">
        <v>520</v>
      </c>
      <c r="JK69" s="270"/>
      <c r="JL69" s="7"/>
      <c r="JM69" s="264" t="s">
        <v>521</v>
      </c>
      <c r="JN69" s="271"/>
      <c r="JO69" s="265"/>
      <c r="JP69" s="2"/>
      <c r="JQ69" s="28" t="s">
        <v>522</v>
      </c>
      <c r="JR69" s="28"/>
      <c r="JS69" s="7"/>
      <c r="JT69" s="2"/>
      <c r="JU69" s="2"/>
      <c r="JV69" s="2"/>
      <c r="JX69" s="310" t="s">
        <v>523</v>
      </c>
      <c r="JY69" s="310"/>
      <c r="JZ69" s="2"/>
      <c r="KA69" s="2"/>
      <c r="KB69" s="57"/>
      <c r="KD69" s="2"/>
      <c r="KE69" s="57"/>
      <c r="KG69" s="2"/>
      <c r="KH69" s="57"/>
      <c r="KI69" s="2"/>
      <c r="KJ69" s="57"/>
      <c r="KK69" s="329" t="s">
        <v>524</v>
      </c>
      <c r="KL69" s="329"/>
      <c r="KM69" s="2"/>
      <c r="KN69" s="57"/>
      <c r="KO69" s="2"/>
      <c r="KP69" s="57"/>
      <c r="KS69" s="4"/>
      <c r="KW69" s="4"/>
      <c r="KZ69" s="4"/>
      <c r="LC69" s="4"/>
      <c r="LG69" s="4"/>
      <c r="LJ69" s="4"/>
      <c r="LM69" s="4"/>
      <c r="LS69" s="4"/>
      <c r="LV69" s="4"/>
      <c r="LY69" s="4"/>
      <c r="MC69" s="4"/>
      <c r="MF69" s="4"/>
    </row>
    <row r="70" spans="6:348" ht="17.25" customHeight="1">
      <c r="F70" s="311" t="s">
        <v>525</v>
      </c>
      <c r="G70" s="311"/>
      <c r="H70" s="108" t="s">
        <v>354</v>
      </c>
      <c r="I70" s="28"/>
      <c r="J70" s="28"/>
      <c r="K70" s="6"/>
      <c r="L70" s="7"/>
      <c r="M70" s="7"/>
      <c r="AA70" s="310" t="s">
        <v>526</v>
      </c>
      <c r="AB70" s="310"/>
      <c r="AC70" s="20" t="s">
        <v>277</v>
      </c>
      <c r="AD70" s="7"/>
      <c r="AE70" s="310" t="s">
        <v>527</v>
      </c>
      <c r="AF70" s="310"/>
      <c r="AG70" s="29" t="s">
        <v>452</v>
      </c>
      <c r="AH70" s="7"/>
      <c r="AI70" s="310" t="s">
        <v>528</v>
      </c>
      <c r="AJ70" s="310"/>
      <c r="AK70" s="29" t="s">
        <v>529</v>
      </c>
      <c r="AL70" s="310" t="s">
        <v>530</v>
      </c>
      <c r="AM70" s="310"/>
      <c r="AN70" s="23" t="s">
        <v>273</v>
      </c>
      <c r="AO70" s="310" t="s">
        <v>531</v>
      </c>
      <c r="AP70" s="310"/>
      <c r="AQ70" s="7" t="s">
        <v>427</v>
      </c>
      <c r="AR70" s="7"/>
      <c r="AS70" s="310" t="s">
        <v>532</v>
      </c>
      <c r="AT70" s="310"/>
      <c r="AU70" s="29" t="s">
        <v>350</v>
      </c>
      <c r="AV70" s="310" t="s">
        <v>533</v>
      </c>
      <c r="AW70" s="310"/>
      <c r="AX70" s="23" t="s">
        <v>338</v>
      </c>
      <c r="AY70" s="310" t="s">
        <v>534</v>
      </c>
      <c r="AZ70" s="310"/>
      <c r="BA70" s="31" t="s">
        <v>344</v>
      </c>
      <c r="BB70" s="310" t="s">
        <v>535</v>
      </c>
      <c r="BC70" s="310"/>
      <c r="BD70" s="28" t="s">
        <v>536</v>
      </c>
      <c r="BF70" s="2"/>
      <c r="BG70" s="57"/>
      <c r="BH70" s="2"/>
      <c r="BI70" s="7"/>
      <c r="BJ70" s="2"/>
      <c r="BK70" s="57"/>
      <c r="BL70" s="2"/>
      <c r="BM70" s="7"/>
      <c r="BN70" s="2"/>
      <c r="BO70" s="57"/>
      <c r="BP70" s="2"/>
      <c r="BQ70" s="23"/>
      <c r="BR70" s="2"/>
      <c r="BS70" s="57"/>
      <c r="BT70" s="2"/>
      <c r="BU70" s="23"/>
      <c r="BV70" s="2"/>
      <c r="BW70" s="57"/>
      <c r="BX70" s="2"/>
      <c r="BY70" s="7"/>
      <c r="BZ70" s="2"/>
      <c r="CA70" s="57"/>
      <c r="CB70" s="2"/>
      <c r="CC70" s="7"/>
      <c r="CD70" s="2"/>
      <c r="CE70" s="57"/>
      <c r="CF70" s="2"/>
      <c r="CG70" s="7"/>
      <c r="CI70" s="4"/>
      <c r="CL70" s="4"/>
      <c r="CN70" s="2"/>
      <c r="CO70" s="141"/>
      <c r="CP70" s="255"/>
      <c r="CQ70" s="7"/>
      <c r="CR70" s="2"/>
      <c r="CS70" s="57"/>
      <c r="CT70" s="2"/>
      <c r="CU70" s="7"/>
      <c r="CV70" s="2"/>
      <c r="CW70" s="57"/>
      <c r="CX70" s="2"/>
      <c r="CY70" s="7"/>
      <c r="CZ70" s="2"/>
      <c r="DA70" s="57"/>
      <c r="DB70" s="2"/>
      <c r="DC70" s="7"/>
      <c r="DD70" s="2"/>
      <c r="DE70" s="57"/>
      <c r="DF70" s="2"/>
      <c r="DG70" s="2"/>
      <c r="DH70" s="2"/>
      <c r="DI70" s="57"/>
      <c r="DJ70" s="2"/>
      <c r="DK70" s="28"/>
      <c r="DL70" s="2"/>
      <c r="DM70" s="57"/>
      <c r="DN70" s="2"/>
      <c r="DO70" s="2"/>
      <c r="DQ70" s="4"/>
      <c r="DS70" s="7"/>
      <c r="DT70" s="2"/>
      <c r="DU70" s="57"/>
      <c r="DV70" s="2"/>
      <c r="DW70" s="7"/>
      <c r="DX70" s="2"/>
      <c r="DY70" s="57"/>
      <c r="DZ70" s="2"/>
      <c r="EA70" s="7"/>
      <c r="EB70" s="2"/>
      <c r="EC70" s="57"/>
      <c r="ED70" s="2"/>
      <c r="EE70" s="7"/>
      <c r="EF70" s="2"/>
      <c r="EG70" s="57"/>
      <c r="EH70" s="2"/>
      <c r="EI70" s="7"/>
      <c r="EJ70" s="2"/>
      <c r="EK70" s="57"/>
      <c r="EL70" s="2"/>
      <c r="EM70" s="272"/>
      <c r="EN70" s="272"/>
      <c r="EO70" s="273"/>
      <c r="EP70" s="272"/>
      <c r="EQ70" s="7"/>
      <c r="ER70" s="2"/>
      <c r="ES70" s="57"/>
      <c r="ET70" s="2"/>
      <c r="EU70" s="2"/>
      <c r="EV70" s="2"/>
      <c r="EW70" s="57"/>
      <c r="EX70" s="2"/>
      <c r="EY70" s="155"/>
      <c r="EZ70" s="2"/>
      <c r="FB70" s="4"/>
      <c r="FF70" s="4"/>
      <c r="FI70" s="4"/>
      <c r="FL70" s="4"/>
      <c r="FO70" s="4"/>
      <c r="FR70" s="4"/>
      <c r="FU70" s="4"/>
      <c r="FY70" s="4"/>
      <c r="FZ70" s="23"/>
      <c r="GB70" s="4"/>
      <c r="GC70" s="274"/>
      <c r="GE70" s="4"/>
      <c r="GF70" s="11"/>
      <c r="GH70" s="4"/>
      <c r="GJ70" s="4"/>
      <c r="GL70" s="329" t="s">
        <v>461</v>
      </c>
      <c r="GM70" s="329"/>
      <c r="GP70" s="39"/>
      <c r="GQ70" s="244"/>
      <c r="GR70" s="39"/>
      <c r="GS70" s="244"/>
      <c r="GU70" s="2"/>
      <c r="GV70" s="57"/>
      <c r="GW70" s="151"/>
      <c r="GX70" s="149"/>
      <c r="GY70" s="149"/>
      <c r="GZ70" s="150"/>
      <c r="HA70" s="7"/>
      <c r="HB70" s="9"/>
      <c r="HC70" s="2"/>
      <c r="HD70" s="57"/>
      <c r="HE70" s="7"/>
      <c r="HF70" s="9"/>
      <c r="HG70" s="7"/>
      <c r="HH70" s="9"/>
      <c r="HI70" s="7"/>
      <c r="HJ70" s="7"/>
      <c r="HK70" s="9"/>
      <c r="HL70" s="7"/>
      <c r="HM70" s="9"/>
      <c r="HN70" s="7"/>
      <c r="HO70" s="9"/>
      <c r="HP70" s="7"/>
      <c r="HQ70" s="9"/>
      <c r="HR70" s="7"/>
      <c r="HS70" s="9"/>
      <c r="HT70" s="7"/>
      <c r="HU70" s="7"/>
      <c r="HV70" s="9"/>
      <c r="HW70" s="19"/>
      <c r="HX70" s="7"/>
      <c r="HY70" s="232"/>
      <c r="HZ70" s="28"/>
      <c r="IA70" s="28"/>
      <c r="IB70" s="2"/>
      <c r="IC70" s="57"/>
      <c r="ID70" s="2"/>
      <c r="IE70" s="57"/>
      <c r="IF70" s="19"/>
      <c r="IG70" s="31"/>
      <c r="IH70" s="19"/>
      <c r="II70" s="7"/>
      <c r="IJ70" s="19"/>
      <c r="IK70" s="7"/>
      <c r="IL70" s="19"/>
      <c r="IM70" s="31"/>
      <c r="IN70" s="2"/>
      <c r="IO70" s="57"/>
      <c r="IP70" s="2"/>
      <c r="IQ70" s="232"/>
      <c r="IR70" s="28"/>
      <c r="IS70" s="7"/>
      <c r="IT70" s="7"/>
      <c r="IU70" s="7"/>
      <c r="IV70" s="7"/>
      <c r="IY70" s="19"/>
      <c r="IZ70" s="7"/>
      <c r="JA70" s="7"/>
      <c r="JB70" s="7"/>
      <c r="JC70" s="314" t="s">
        <v>537</v>
      </c>
      <c r="JD70" s="314"/>
      <c r="JE70" s="19"/>
      <c r="JF70" s="31"/>
      <c r="JG70" s="31"/>
      <c r="JH70" s="54"/>
      <c r="JI70" s="2"/>
      <c r="JJ70" s="264" t="s">
        <v>538</v>
      </c>
      <c r="JK70" s="264"/>
      <c r="JL70" s="275"/>
      <c r="JM70" s="28" t="s">
        <v>539</v>
      </c>
      <c r="JN70" s="223"/>
      <c r="JO70" s="197"/>
      <c r="JP70" s="2"/>
      <c r="JQ70" s="7" t="s">
        <v>540</v>
      </c>
      <c r="JR70" s="7"/>
      <c r="JS70" s="250"/>
      <c r="JT70" s="80"/>
      <c r="JU70" s="2"/>
      <c r="JV70" s="2"/>
      <c r="JX70" s="2"/>
      <c r="JY70" s="57"/>
      <c r="JZ70" s="2"/>
      <c r="KA70" s="19"/>
      <c r="KB70" s="7"/>
      <c r="KD70" s="2"/>
      <c r="KE70" s="57"/>
      <c r="KH70" s="4"/>
      <c r="KJ70" s="4"/>
      <c r="KK70" s="318" t="s">
        <v>541</v>
      </c>
      <c r="KL70" s="318"/>
      <c r="KN70" s="4"/>
      <c r="KP70" s="4"/>
      <c r="KS70" s="4"/>
      <c r="KW70" s="4"/>
      <c r="KZ70" s="4"/>
      <c r="LC70" s="4"/>
      <c r="LG70" s="4"/>
      <c r="LJ70" s="4"/>
      <c r="LM70" s="4"/>
      <c r="LS70" s="4"/>
      <c r="LV70" s="4"/>
      <c r="LY70" s="4"/>
      <c r="MC70" s="4"/>
      <c r="MF70" s="4"/>
    </row>
    <row r="71" spans="6:348" ht="17.25">
      <c r="F71" s="337" t="s">
        <v>542</v>
      </c>
      <c r="G71" s="337"/>
      <c r="H71" s="47" t="s">
        <v>363</v>
      </c>
      <c r="I71" s="6"/>
      <c r="J71" s="6"/>
      <c r="K71" s="6"/>
      <c r="L71" s="7"/>
      <c r="M71" s="7"/>
      <c r="AA71" s="310" t="s">
        <v>543</v>
      </c>
      <c r="AB71" s="310"/>
      <c r="AC71" s="20" t="s">
        <v>277</v>
      </c>
      <c r="AD71" s="7"/>
      <c r="AE71" s="310" t="s">
        <v>544</v>
      </c>
      <c r="AF71" s="310"/>
      <c r="AG71" s="20" t="s">
        <v>398</v>
      </c>
      <c r="AH71" s="7"/>
      <c r="AI71" s="310" t="s">
        <v>545</v>
      </c>
      <c r="AJ71" s="310"/>
      <c r="AK71" s="29" t="s">
        <v>271</v>
      </c>
      <c r="AL71" s="310" t="s">
        <v>546</v>
      </c>
      <c r="AM71" s="310"/>
      <c r="AN71" s="23" t="s">
        <v>273</v>
      </c>
      <c r="AO71" s="28"/>
      <c r="AP71" s="210"/>
      <c r="AQ71" s="28"/>
      <c r="AR71" s="7"/>
      <c r="AS71" s="310" t="s">
        <v>547</v>
      </c>
      <c r="AT71" s="310"/>
      <c r="AU71" s="29" t="s">
        <v>363</v>
      </c>
      <c r="AV71" s="310" t="s">
        <v>548</v>
      </c>
      <c r="AW71" s="310"/>
      <c r="AX71" s="28" t="s">
        <v>338</v>
      </c>
      <c r="AY71" s="338" t="s">
        <v>549</v>
      </c>
      <c r="AZ71" s="338"/>
      <c r="BA71" s="31" t="s">
        <v>424</v>
      </c>
      <c r="BB71" s="7"/>
      <c r="BC71" s="7"/>
      <c r="BD71" s="7"/>
      <c r="BF71" s="2"/>
      <c r="BG71" s="57"/>
      <c r="BH71" s="2"/>
      <c r="BI71" s="7"/>
      <c r="BJ71" s="2"/>
      <c r="BK71" s="57"/>
      <c r="BL71" s="2"/>
      <c r="BM71" s="7"/>
      <c r="BN71" s="2"/>
      <c r="BO71" s="57"/>
      <c r="BP71" s="2"/>
      <c r="BQ71" s="23"/>
      <c r="BR71" s="2"/>
      <c r="BS71" s="57"/>
      <c r="BT71" s="2"/>
      <c r="BU71" s="23"/>
      <c r="BV71" s="2"/>
      <c r="BW71" s="57"/>
      <c r="BX71" s="2"/>
      <c r="BY71" s="7"/>
      <c r="BZ71" s="2"/>
      <c r="CA71" s="57"/>
      <c r="CB71" s="2"/>
      <c r="CC71" s="7"/>
      <c r="CD71" s="2"/>
      <c r="CE71" s="57"/>
      <c r="CF71" s="2"/>
      <c r="CG71" s="7"/>
      <c r="CI71" s="4"/>
      <c r="CK71" s="2"/>
      <c r="CL71" s="57"/>
      <c r="CM71" s="2"/>
      <c r="CN71" s="2"/>
      <c r="CO71" s="7"/>
      <c r="CP71" s="9"/>
      <c r="CQ71" s="7"/>
      <c r="CR71" s="2"/>
      <c r="CS71" s="57"/>
      <c r="CT71" s="2"/>
      <c r="CU71" s="7"/>
      <c r="CV71" s="2"/>
      <c r="CW71" s="57"/>
      <c r="CX71" s="2"/>
      <c r="CY71" s="7"/>
      <c r="CZ71" s="2"/>
      <c r="DA71" s="57"/>
      <c r="DB71" s="2"/>
      <c r="DC71" s="7"/>
      <c r="DD71" s="2"/>
      <c r="DE71" s="57"/>
      <c r="DF71" s="2"/>
      <c r="DG71" s="2"/>
      <c r="DH71" s="2"/>
      <c r="DI71" s="57"/>
      <c r="DJ71" s="2"/>
      <c r="DK71" s="28"/>
      <c r="DL71" s="2"/>
      <c r="DM71" s="57"/>
      <c r="DN71" s="2"/>
      <c r="DO71" s="2"/>
      <c r="DQ71" s="4"/>
      <c r="DS71" s="7"/>
      <c r="DT71" s="2"/>
      <c r="DU71" s="57"/>
      <c r="DV71" s="2"/>
      <c r="DW71" s="7"/>
      <c r="DX71" s="2"/>
      <c r="DY71" s="57"/>
      <c r="DZ71" s="2"/>
      <c r="EA71" s="7"/>
      <c r="EB71" s="2"/>
      <c r="EC71" s="57"/>
      <c r="ED71" s="2"/>
      <c r="EE71" s="7"/>
      <c r="EF71" s="2"/>
      <c r="EG71" s="57"/>
      <c r="EH71" s="2"/>
      <c r="EI71" s="7"/>
      <c r="EJ71" s="2"/>
      <c r="EK71" s="57"/>
      <c r="EL71" s="2"/>
      <c r="EM71" s="272"/>
      <c r="EN71" s="272"/>
      <c r="EO71" s="273"/>
      <c r="EP71" s="272"/>
      <c r="EQ71" s="7"/>
      <c r="ER71" s="2"/>
      <c r="ES71" s="57"/>
      <c r="ET71" s="2"/>
      <c r="EU71" s="2"/>
      <c r="EV71" s="2"/>
      <c r="EW71" s="57"/>
      <c r="EX71" s="2"/>
      <c r="EY71" s="46"/>
      <c r="EZ71" s="46"/>
      <c r="FB71" s="4"/>
      <c r="FF71" s="4"/>
      <c r="FI71" s="4"/>
      <c r="FL71" s="4"/>
      <c r="FO71" s="4"/>
      <c r="FR71" s="4"/>
      <c r="FU71" s="4"/>
      <c r="FY71" s="4"/>
      <c r="FZ71" s="23"/>
      <c r="GB71" s="4"/>
      <c r="GC71" s="2"/>
      <c r="GE71" s="4"/>
      <c r="GF71" s="11"/>
      <c r="GG71" s="276"/>
      <c r="GH71" s="57"/>
      <c r="GJ71" s="4"/>
      <c r="GM71" s="4"/>
      <c r="GP71" s="39"/>
      <c r="GQ71" s="244"/>
      <c r="GR71" s="39"/>
      <c r="GS71" s="244"/>
      <c r="GU71" s="2"/>
      <c r="GV71" s="57"/>
      <c r="GW71" s="2"/>
      <c r="GX71" s="57"/>
      <c r="GY71" s="2"/>
      <c r="GZ71" s="57"/>
      <c r="HA71" s="2"/>
      <c r="HB71" s="57"/>
      <c r="HC71" s="2"/>
      <c r="HD71" s="57"/>
      <c r="HE71" s="2"/>
      <c r="HF71" s="57"/>
      <c r="HG71" s="2"/>
      <c r="HH71" s="57"/>
      <c r="HI71" s="2"/>
      <c r="HJ71" s="2"/>
      <c r="HK71" s="57"/>
      <c r="HL71" s="2"/>
      <c r="HM71" s="57"/>
      <c r="HN71" s="2"/>
      <c r="HO71" s="57"/>
      <c r="HP71" s="2"/>
      <c r="HQ71" s="57"/>
      <c r="HR71" s="2"/>
      <c r="HS71" s="57"/>
      <c r="HT71" s="2"/>
      <c r="HU71" s="2"/>
      <c r="HV71" s="57"/>
      <c r="HW71" s="2"/>
      <c r="HX71" s="57"/>
      <c r="HY71" s="2"/>
      <c r="HZ71" s="57"/>
      <c r="IA71" s="2"/>
      <c r="IB71" s="2"/>
      <c r="IC71" s="57"/>
      <c r="ID71" s="19"/>
      <c r="IE71" s="7"/>
      <c r="IF71" s="2"/>
      <c r="IG71" s="57"/>
      <c r="IH71" s="2"/>
      <c r="II71" s="57"/>
      <c r="IJ71" s="2"/>
      <c r="IK71" s="57"/>
      <c r="IL71" s="2"/>
      <c r="IM71" s="57"/>
      <c r="IN71" s="2"/>
      <c r="IO71" s="57"/>
      <c r="IP71" s="2"/>
      <c r="IQ71" s="2"/>
      <c r="IR71" s="57"/>
      <c r="IS71" s="2"/>
      <c r="IT71" s="2"/>
      <c r="IU71" s="313"/>
      <c r="IV71" s="313"/>
      <c r="IW71" s="2"/>
      <c r="IX71" s="2"/>
      <c r="IY71" s="2"/>
      <c r="IZ71" s="57"/>
      <c r="JA71" s="2"/>
      <c r="JB71" s="2"/>
      <c r="JC71" s="318" t="s">
        <v>550</v>
      </c>
      <c r="JD71" s="318"/>
      <c r="JE71" s="2"/>
      <c r="JF71" s="57"/>
      <c r="JG71" s="2"/>
      <c r="JH71" s="57"/>
      <c r="JI71" s="2"/>
      <c r="JJ71" s="28" t="s">
        <v>551</v>
      </c>
      <c r="JK71" s="28"/>
      <c r="JL71" s="7"/>
      <c r="JM71" s="28" t="s">
        <v>552</v>
      </c>
      <c r="JN71" s="210"/>
      <c r="JO71" s="7"/>
      <c r="JP71" s="2"/>
      <c r="JQ71" s="2"/>
      <c r="JR71" s="28"/>
      <c r="JS71" s="28"/>
      <c r="JT71" s="7"/>
      <c r="JU71" s="7"/>
      <c r="JV71" s="7"/>
      <c r="JX71" s="2"/>
      <c r="JY71" s="57"/>
      <c r="JZ71" s="2"/>
      <c r="KA71" s="7"/>
      <c r="KB71" s="9"/>
      <c r="KD71" s="2"/>
      <c r="KE71" s="57"/>
      <c r="KG71" s="38"/>
      <c r="KH71" s="52"/>
      <c r="KI71" s="277"/>
      <c r="KJ71" s="278"/>
      <c r="KN71" s="4"/>
      <c r="KP71" s="4"/>
      <c r="KS71" s="4"/>
      <c r="KW71" s="4"/>
      <c r="KZ71" s="4"/>
      <c r="LC71" s="4"/>
      <c r="LG71" s="4"/>
      <c r="LJ71" s="4"/>
      <c r="LM71" s="4"/>
      <c r="LS71" s="4"/>
      <c r="LV71" s="4"/>
      <c r="LY71" s="4"/>
      <c r="MC71" s="4"/>
      <c r="MF71" s="4"/>
    </row>
    <row r="72" spans="6:348" ht="17.25">
      <c r="G72" s="247"/>
      <c r="I72" s="336" t="s">
        <v>553</v>
      </c>
      <c r="J72" s="336"/>
      <c r="K72" s="336"/>
      <c r="L72" s="336"/>
      <c r="M72" s="336"/>
      <c r="AA72" s="310" t="s">
        <v>554</v>
      </c>
      <c r="AB72" s="310"/>
      <c r="AC72" s="29" t="s">
        <v>555</v>
      </c>
      <c r="AD72" s="7"/>
      <c r="AE72" s="310" t="s">
        <v>556</v>
      </c>
      <c r="AF72" s="310"/>
      <c r="AG72" s="20" t="s">
        <v>399</v>
      </c>
      <c r="AH72" s="7"/>
      <c r="AI72" s="310" t="s">
        <v>557</v>
      </c>
      <c r="AJ72" s="310"/>
      <c r="AK72" s="29" t="s">
        <v>354</v>
      </c>
      <c r="AL72" s="310" t="s">
        <v>558</v>
      </c>
      <c r="AM72" s="310"/>
      <c r="AN72" s="23" t="s">
        <v>380</v>
      </c>
      <c r="AO72" s="23"/>
      <c r="AP72" s="30"/>
      <c r="AQ72" s="23"/>
      <c r="AR72" s="7"/>
      <c r="AS72" s="38"/>
      <c r="AT72" s="52"/>
      <c r="AU72" s="38"/>
      <c r="AV72" s="2"/>
      <c r="AW72" s="57"/>
      <c r="AX72" s="2"/>
      <c r="AY72" s="23"/>
      <c r="AZ72" s="30"/>
      <c r="BA72" s="23"/>
      <c r="BB72" s="38"/>
      <c r="BC72" s="38"/>
      <c r="BD72" s="38"/>
      <c r="BF72" s="329" t="s">
        <v>559</v>
      </c>
      <c r="BG72" s="329"/>
      <c r="BH72" s="47" t="s">
        <v>273</v>
      </c>
      <c r="BI72" s="28"/>
      <c r="BJ72" s="310" t="s">
        <v>560</v>
      </c>
      <c r="BK72" s="310"/>
      <c r="BL72" s="68" t="s">
        <v>381</v>
      </c>
      <c r="BM72" s="7"/>
      <c r="BN72" s="324" t="s">
        <v>561</v>
      </c>
      <c r="BO72" s="324"/>
      <c r="BP72" s="108" t="s">
        <v>354</v>
      </c>
      <c r="BQ72" s="274"/>
      <c r="BR72" s="310" t="s">
        <v>562</v>
      </c>
      <c r="BS72" s="310"/>
      <c r="BT72" s="108" t="s">
        <v>529</v>
      </c>
      <c r="BU72" s="274"/>
      <c r="BV72" s="310" t="s">
        <v>563</v>
      </c>
      <c r="BW72" s="310"/>
      <c r="BX72" s="23" t="s">
        <v>338</v>
      </c>
      <c r="BY72" s="2"/>
      <c r="BZ72" s="310" t="s">
        <v>564</v>
      </c>
      <c r="CA72" s="310"/>
      <c r="CB72" s="23" t="s">
        <v>393</v>
      </c>
      <c r="CC72" s="28"/>
      <c r="CD72" s="313" t="s">
        <v>235</v>
      </c>
      <c r="CE72" s="313"/>
      <c r="CF72" s="279" t="s">
        <v>363</v>
      </c>
      <c r="CG72" s="7"/>
      <c r="CH72" s="312" t="s">
        <v>565</v>
      </c>
      <c r="CI72" s="312"/>
      <c r="CJ72" s="236" t="s">
        <v>401</v>
      </c>
      <c r="CK72" s="310" t="s">
        <v>566</v>
      </c>
      <c r="CL72" s="310"/>
      <c r="CM72" s="68" t="s">
        <v>452</v>
      </c>
      <c r="CN72" s="2"/>
      <c r="CO72" s="310" t="s">
        <v>567</v>
      </c>
      <c r="CP72" s="310"/>
      <c r="CQ72" s="23" t="s">
        <v>390</v>
      </c>
      <c r="CR72" s="310" t="s">
        <v>568</v>
      </c>
      <c r="CS72" s="310"/>
      <c r="CT72" s="108" t="s">
        <v>342</v>
      </c>
      <c r="CU72" s="7"/>
      <c r="CV72" s="310" t="s">
        <v>569</v>
      </c>
      <c r="CW72" s="310"/>
      <c r="CX72" s="68" t="s">
        <v>424</v>
      </c>
      <c r="CY72" s="7"/>
      <c r="CZ72" s="310" t="s">
        <v>570</v>
      </c>
      <c r="DA72" s="310"/>
      <c r="DB72" s="28" t="s">
        <v>571</v>
      </c>
      <c r="DC72" s="28"/>
      <c r="DD72" s="310" t="s">
        <v>572</v>
      </c>
      <c r="DE72" s="310"/>
      <c r="DF72" s="68" t="s">
        <v>573</v>
      </c>
      <c r="DG72" s="2"/>
      <c r="DH72" s="310" t="s">
        <v>574</v>
      </c>
      <c r="DI72" s="310"/>
      <c r="DJ72" s="23" t="s">
        <v>575</v>
      </c>
      <c r="DK72" s="2"/>
      <c r="DL72" s="312" t="s">
        <v>576</v>
      </c>
      <c r="DM72" s="312"/>
      <c r="DN72" s="28" t="s">
        <v>277</v>
      </c>
      <c r="DO72" s="2"/>
      <c r="DP72" s="310" t="s">
        <v>577</v>
      </c>
      <c r="DQ72" s="310"/>
      <c r="DR72" s="236" t="s">
        <v>389</v>
      </c>
      <c r="DS72" s="7"/>
      <c r="DT72" s="310" t="s">
        <v>578</v>
      </c>
      <c r="DU72" s="310"/>
      <c r="DV72" s="108" t="s">
        <v>271</v>
      </c>
      <c r="DW72" s="7"/>
      <c r="DX72" s="310" t="s">
        <v>579</v>
      </c>
      <c r="DY72" s="310"/>
      <c r="DZ72" s="236" t="s">
        <v>385</v>
      </c>
      <c r="EA72" s="143"/>
      <c r="EB72" s="310" t="s">
        <v>580</v>
      </c>
      <c r="EC72" s="310"/>
      <c r="ED72" s="23" t="s">
        <v>350</v>
      </c>
      <c r="EE72" s="28"/>
      <c r="EF72" s="310" t="s">
        <v>581</v>
      </c>
      <c r="EG72" s="310"/>
      <c r="EH72" s="23" t="s">
        <v>555</v>
      </c>
      <c r="EI72" s="7"/>
      <c r="EJ72" s="310" t="s">
        <v>582</v>
      </c>
      <c r="EK72" s="310"/>
      <c r="EL72" s="23" t="s">
        <v>352</v>
      </c>
      <c r="EM72" s="2"/>
      <c r="EN72" s="310" t="s">
        <v>583</v>
      </c>
      <c r="EO72" s="310"/>
      <c r="EP72" s="28" t="s">
        <v>395</v>
      </c>
      <c r="EQ72" s="2"/>
      <c r="ER72" s="310" t="s">
        <v>584</v>
      </c>
      <c r="ES72" s="310"/>
      <c r="ET72" s="236" t="s">
        <v>398</v>
      </c>
      <c r="EU72" s="236"/>
      <c r="EV72" s="310" t="s">
        <v>585</v>
      </c>
      <c r="EW72" s="310"/>
      <c r="EX72" s="236" t="s">
        <v>399</v>
      </c>
      <c r="EY72" s="29"/>
      <c r="EZ72" s="259"/>
      <c r="FA72" s="329" t="s">
        <v>586</v>
      </c>
      <c r="FB72" s="329"/>
      <c r="FC72" s="31" t="s">
        <v>273</v>
      </c>
      <c r="FD72" s="6"/>
      <c r="FE72" s="310" t="s">
        <v>587</v>
      </c>
      <c r="FF72" s="310"/>
      <c r="FG72" s="23" t="s">
        <v>424</v>
      </c>
      <c r="FH72" s="310" t="s">
        <v>588</v>
      </c>
      <c r="FI72" s="310"/>
      <c r="FJ72" s="28" t="s">
        <v>452</v>
      </c>
      <c r="FK72" s="310" t="s">
        <v>589</v>
      </c>
      <c r="FL72" s="310"/>
      <c r="FM72" s="23" t="s">
        <v>389</v>
      </c>
      <c r="FN72" s="310" t="s">
        <v>590</v>
      </c>
      <c r="FO72" s="310"/>
      <c r="FP72" s="28" t="s">
        <v>338</v>
      </c>
      <c r="FQ72" s="311" t="s">
        <v>591</v>
      </c>
      <c r="FR72" s="311"/>
      <c r="FS72" s="68" t="s">
        <v>352</v>
      </c>
      <c r="FT72" s="310" t="s">
        <v>592</v>
      </c>
      <c r="FU72" s="310"/>
      <c r="FV72" s="23" t="s">
        <v>342</v>
      </c>
      <c r="FX72" s="23" t="s">
        <v>593</v>
      </c>
      <c r="FY72" s="23" t="s">
        <v>594</v>
      </c>
      <c r="FZ72" s="23"/>
      <c r="GA72" s="28" t="s">
        <v>595</v>
      </c>
      <c r="GB72" s="23" t="s">
        <v>393</v>
      </c>
      <c r="GC72" s="2"/>
      <c r="GD72" s="23" t="s">
        <v>596</v>
      </c>
      <c r="GE72" s="108" t="s">
        <v>424</v>
      </c>
      <c r="GF72" s="11"/>
      <c r="GG72" s="23" t="s">
        <v>597</v>
      </c>
      <c r="GH72" s="23" t="s">
        <v>389</v>
      </c>
      <c r="GI72" s="23" t="s">
        <v>598</v>
      </c>
      <c r="GJ72" s="23" t="s">
        <v>352</v>
      </c>
      <c r="GL72" s="332" t="s">
        <v>599</v>
      </c>
      <c r="GM72" s="332"/>
      <c r="GN72" s="131"/>
      <c r="GO72" s="131"/>
      <c r="GP72" s="332" t="s">
        <v>600</v>
      </c>
      <c r="GQ72" s="332"/>
      <c r="GR72" s="332" t="s">
        <v>601</v>
      </c>
      <c r="GS72" s="332"/>
      <c r="GU72" s="318" t="s">
        <v>602</v>
      </c>
      <c r="GV72" s="318"/>
      <c r="GW72" s="318" t="s">
        <v>603</v>
      </c>
      <c r="GX72" s="318"/>
      <c r="GY72" s="318" t="s">
        <v>604</v>
      </c>
      <c r="GZ72" s="318"/>
      <c r="HA72" s="310" t="s">
        <v>605</v>
      </c>
      <c r="HB72" s="310"/>
      <c r="HC72" s="318" t="s">
        <v>606</v>
      </c>
      <c r="HD72" s="318"/>
      <c r="HE72" s="318" t="s">
        <v>607</v>
      </c>
      <c r="HF72" s="318"/>
      <c r="HG72" s="310" t="s">
        <v>608</v>
      </c>
      <c r="HH72" s="310"/>
      <c r="HI72" s="29"/>
      <c r="HJ72" s="318" t="s">
        <v>609</v>
      </c>
      <c r="HK72" s="318"/>
      <c r="HL72" s="314" t="s">
        <v>610</v>
      </c>
      <c r="HM72" s="314"/>
      <c r="HN72" s="318" t="s">
        <v>611</v>
      </c>
      <c r="HO72" s="318"/>
      <c r="HP72" s="318" t="s">
        <v>612</v>
      </c>
      <c r="HQ72" s="318"/>
      <c r="HR72" s="318" t="s">
        <v>613</v>
      </c>
      <c r="HS72" s="318"/>
      <c r="HT72" s="2"/>
      <c r="HU72" s="327" t="s">
        <v>614</v>
      </c>
      <c r="HV72" s="327"/>
      <c r="HW72" s="318" t="s">
        <v>615</v>
      </c>
      <c r="HX72" s="318"/>
      <c r="HY72" s="318" t="s">
        <v>616</v>
      </c>
      <c r="HZ72" s="318"/>
      <c r="IA72" s="29"/>
      <c r="IB72" s="318" t="s">
        <v>617</v>
      </c>
      <c r="IC72" s="318"/>
      <c r="ID72" s="318" t="s">
        <v>618</v>
      </c>
      <c r="IE72" s="318"/>
      <c r="IF72" s="318" t="s">
        <v>619</v>
      </c>
      <c r="IG72" s="318"/>
      <c r="IH72" s="310" t="s">
        <v>620</v>
      </c>
      <c r="II72" s="310"/>
      <c r="IJ72" s="318" t="s">
        <v>621</v>
      </c>
      <c r="IK72" s="318"/>
      <c r="IL72" s="310" t="s">
        <v>622</v>
      </c>
      <c r="IM72" s="310"/>
      <c r="IN72" s="310" t="s">
        <v>623</v>
      </c>
      <c r="IO72" s="310"/>
      <c r="IP72" s="2"/>
      <c r="IQ72" s="310" t="s">
        <v>624</v>
      </c>
      <c r="IR72" s="310"/>
      <c r="IS72" s="335"/>
      <c r="IT72" s="335"/>
      <c r="IU72" s="25"/>
      <c r="IV72" s="7"/>
      <c r="IW72" s="2"/>
      <c r="IX72" s="2"/>
      <c r="IY72" s="314" t="s">
        <v>625</v>
      </c>
      <c r="IZ72" s="314"/>
      <c r="JA72" s="309"/>
      <c r="JB72" s="309"/>
      <c r="JC72" s="318" t="s">
        <v>626</v>
      </c>
      <c r="JD72" s="318"/>
      <c r="JE72" s="310" t="s">
        <v>627</v>
      </c>
      <c r="JF72" s="310"/>
      <c r="JG72" s="310" t="s">
        <v>628</v>
      </c>
      <c r="JH72" s="310"/>
      <c r="JI72" s="2"/>
      <c r="JL72" s="149"/>
      <c r="JM72" s="28"/>
      <c r="JN72" s="28"/>
      <c r="JO72" s="7"/>
      <c r="JP72" s="2"/>
      <c r="JQ72" s="2"/>
      <c r="JR72" s="2"/>
      <c r="JS72" s="2"/>
      <c r="JT72" s="2"/>
      <c r="JU72" s="235"/>
      <c r="JV72" s="235"/>
      <c r="JX72" s="310" t="s">
        <v>629</v>
      </c>
      <c r="JY72" s="310"/>
      <c r="JZ72" s="2"/>
      <c r="KA72" s="329" t="s">
        <v>630</v>
      </c>
      <c r="KB72" s="329"/>
      <c r="KD72" s="333" t="s">
        <v>631</v>
      </c>
      <c r="KE72" s="333"/>
      <c r="KG72" s="310" t="s">
        <v>632</v>
      </c>
      <c r="KH72" s="310"/>
      <c r="KI72" s="334" t="s">
        <v>633</v>
      </c>
      <c r="KJ72" s="334"/>
      <c r="KM72" s="318" t="s">
        <v>634</v>
      </c>
      <c r="KN72" s="318"/>
      <c r="KO72" s="325" t="s">
        <v>635</v>
      </c>
      <c r="KP72" s="325"/>
      <c r="KR72" s="310" t="s">
        <v>636</v>
      </c>
      <c r="KS72" s="310"/>
      <c r="KV72" s="324" t="s">
        <v>637</v>
      </c>
      <c r="KW72" s="324"/>
      <c r="KY72" s="332" t="s">
        <v>638</v>
      </c>
      <c r="KZ72" s="332"/>
      <c r="LB72" s="318" t="s">
        <v>639</v>
      </c>
      <c r="LC72" s="318"/>
      <c r="LF72" s="318" t="s">
        <v>640</v>
      </c>
      <c r="LG72" s="318"/>
      <c r="LI72" s="318" t="s">
        <v>641</v>
      </c>
      <c r="LJ72" s="318"/>
      <c r="LL72" s="310" t="s">
        <v>642</v>
      </c>
      <c r="LM72" s="310"/>
      <c r="LR72" s="310" t="s">
        <v>643</v>
      </c>
      <c r="LS72" s="310"/>
      <c r="LU72" s="329" t="s">
        <v>644</v>
      </c>
      <c r="LV72" s="329"/>
      <c r="LX72" s="318" t="s">
        <v>645</v>
      </c>
      <c r="LY72" s="318"/>
      <c r="MB72" s="325" t="s">
        <v>646</v>
      </c>
      <c r="MC72" s="325"/>
      <c r="ME72" s="310" t="s">
        <v>647</v>
      </c>
      <c r="MF72" s="310"/>
    </row>
    <row r="73" spans="6:348" ht="17.25">
      <c r="F73" s="310" t="s">
        <v>648</v>
      </c>
      <c r="G73" s="310"/>
      <c r="H73" s="68" t="s">
        <v>649</v>
      </c>
      <c r="I73" s="336"/>
      <c r="J73" s="336"/>
      <c r="K73" s="336"/>
      <c r="L73" s="336"/>
      <c r="M73" s="336"/>
      <c r="AA73" s="310" t="s">
        <v>650</v>
      </c>
      <c r="AB73" s="310"/>
      <c r="AC73" s="29" t="s">
        <v>352</v>
      </c>
      <c r="AD73" s="7"/>
      <c r="AE73" s="39"/>
      <c r="AF73" s="244"/>
      <c r="AG73" s="39"/>
      <c r="AH73" s="7"/>
      <c r="AI73" s="310" t="s">
        <v>651</v>
      </c>
      <c r="AJ73" s="310"/>
      <c r="AK73" s="29" t="s">
        <v>336</v>
      </c>
      <c r="AL73" s="28"/>
      <c r="AM73" s="210"/>
      <c r="AN73" s="7"/>
      <c r="AO73" s="7"/>
      <c r="AP73" s="9"/>
      <c r="AQ73" s="7"/>
      <c r="AR73" s="7"/>
      <c r="AS73" s="38"/>
      <c r="AT73" s="52"/>
      <c r="AU73" s="38"/>
      <c r="AV73" s="2"/>
      <c r="AW73" s="57"/>
      <c r="AX73" s="2"/>
      <c r="AY73" s="38"/>
      <c r="AZ73" s="52"/>
      <c r="BA73" s="38"/>
      <c r="BB73" s="38"/>
      <c r="BC73" s="38"/>
      <c r="BD73" s="38"/>
      <c r="BF73" s="310" t="s">
        <v>652</v>
      </c>
      <c r="BG73" s="310"/>
      <c r="BH73" s="28" t="s">
        <v>273</v>
      </c>
      <c r="BI73" s="2"/>
      <c r="BJ73" s="310" t="s">
        <v>653</v>
      </c>
      <c r="BK73" s="310"/>
      <c r="BL73" s="68" t="s">
        <v>380</v>
      </c>
      <c r="BM73" s="2"/>
      <c r="BN73" s="313" t="s">
        <v>235</v>
      </c>
      <c r="BO73" s="313"/>
      <c r="BP73" s="274" t="s">
        <v>354</v>
      </c>
      <c r="BQ73" s="274"/>
      <c r="BR73" s="313" t="s">
        <v>235</v>
      </c>
      <c r="BS73" s="313"/>
      <c r="BT73" s="274" t="s">
        <v>336</v>
      </c>
      <c r="BU73" s="274"/>
      <c r="BV73" s="324" t="s">
        <v>654</v>
      </c>
      <c r="BW73" s="324"/>
      <c r="BX73" s="23" t="s">
        <v>338</v>
      </c>
      <c r="BY73" s="7"/>
      <c r="BZ73" s="312" t="s">
        <v>655</v>
      </c>
      <c r="CA73" s="312"/>
      <c r="CB73" s="23" t="s">
        <v>393</v>
      </c>
      <c r="CC73" s="97"/>
      <c r="CG73" s="2"/>
      <c r="CH73" s="313" t="s">
        <v>235</v>
      </c>
      <c r="CI73" s="313"/>
      <c r="CJ73" s="280" t="s">
        <v>656</v>
      </c>
      <c r="CK73" s="310" t="s">
        <v>657</v>
      </c>
      <c r="CL73" s="310"/>
      <c r="CM73" s="236" t="s">
        <v>452</v>
      </c>
      <c r="CN73" s="2"/>
      <c r="CO73" s="310" t="s">
        <v>658</v>
      </c>
      <c r="CP73" s="310"/>
      <c r="CQ73" s="236" t="s">
        <v>390</v>
      </c>
      <c r="CR73" s="310" t="s">
        <v>659</v>
      </c>
      <c r="CS73" s="310"/>
      <c r="CT73" s="236" t="s">
        <v>342</v>
      </c>
      <c r="CU73" s="7"/>
      <c r="CV73" s="313" t="s">
        <v>235</v>
      </c>
      <c r="CW73" s="313"/>
      <c r="CX73" s="281" t="s">
        <v>424</v>
      </c>
      <c r="CY73" s="7"/>
      <c r="CZ73" s="331" t="s">
        <v>660</v>
      </c>
      <c r="DA73" s="331"/>
      <c r="DB73" s="23" t="s">
        <v>344</v>
      </c>
      <c r="DC73" s="7"/>
      <c r="DD73" s="310" t="s">
        <v>661</v>
      </c>
      <c r="DE73" s="310"/>
      <c r="DF73" s="68" t="s">
        <v>346</v>
      </c>
      <c r="DG73" s="2"/>
      <c r="DH73" s="313" t="s">
        <v>235</v>
      </c>
      <c r="DI73" s="313"/>
      <c r="DJ73" s="330" t="s">
        <v>662</v>
      </c>
      <c r="DK73" s="330"/>
      <c r="DL73" s="313" t="s">
        <v>235</v>
      </c>
      <c r="DM73" s="313"/>
      <c r="DN73" s="279" t="s">
        <v>277</v>
      </c>
      <c r="DO73" s="2"/>
      <c r="DP73" s="312" t="s">
        <v>663</v>
      </c>
      <c r="DQ73" s="312"/>
      <c r="DR73" s="23" t="s">
        <v>389</v>
      </c>
      <c r="DS73" s="7"/>
      <c r="DT73" s="312" t="s">
        <v>664</v>
      </c>
      <c r="DU73" s="312"/>
      <c r="DV73" s="23" t="s">
        <v>271</v>
      </c>
      <c r="DW73" s="97"/>
      <c r="DX73" s="313" t="s">
        <v>235</v>
      </c>
      <c r="DY73" s="313"/>
      <c r="DZ73" s="274" t="s">
        <v>385</v>
      </c>
      <c r="EA73" s="7"/>
      <c r="EB73" s="310" t="s">
        <v>665</v>
      </c>
      <c r="EC73" s="310"/>
      <c r="ED73" s="108" t="s">
        <v>350</v>
      </c>
      <c r="EE73" s="7"/>
      <c r="EF73" s="310" t="s">
        <v>666</v>
      </c>
      <c r="EG73" s="310"/>
      <c r="EH73" s="23" t="s">
        <v>555</v>
      </c>
      <c r="EI73" s="28"/>
      <c r="EJ73" s="310" t="s">
        <v>667</v>
      </c>
      <c r="EK73" s="310"/>
      <c r="EL73" s="23" t="s">
        <v>352</v>
      </c>
      <c r="EM73" s="23"/>
      <c r="EN73" s="310" t="s">
        <v>668</v>
      </c>
      <c r="EO73" s="310"/>
      <c r="EP73" s="28" t="s">
        <v>396</v>
      </c>
      <c r="EQ73" s="2"/>
      <c r="ER73" s="312" t="s">
        <v>669</v>
      </c>
      <c r="ES73" s="312"/>
      <c r="ET73" s="236" t="s">
        <v>398</v>
      </c>
      <c r="EU73" s="2"/>
      <c r="EV73" s="312" t="s">
        <v>670</v>
      </c>
      <c r="EW73" s="312"/>
      <c r="EX73" s="28" t="s">
        <v>399</v>
      </c>
      <c r="EY73" s="259"/>
      <c r="EZ73" s="259"/>
      <c r="FA73" s="312" t="s">
        <v>671</v>
      </c>
      <c r="FB73" s="312"/>
      <c r="FC73" s="68" t="s">
        <v>380</v>
      </c>
      <c r="FD73" s="6"/>
      <c r="FE73" s="310" t="s">
        <v>672</v>
      </c>
      <c r="FF73" s="310"/>
      <c r="FG73" s="23" t="s">
        <v>344</v>
      </c>
      <c r="FH73" s="310" t="s">
        <v>673</v>
      </c>
      <c r="FI73" s="310"/>
      <c r="FJ73" s="282" t="s">
        <v>401</v>
      </c>
      <c r="FK73" s="310" t="s">
        <v>674</v>
      </c>
      <c r="FL73" s="310"/>
      <c r="FM73" s="28" t="s">
        <v>385</v>
      </c>
      <c r="FN73" s="310" t="s">
        <v>675</v>
      </c>
      <c r="FO73" s="310"/>
      <c r="FP73" s="23" t="s">
        <v>393</v>
      </c>
      <c r="FQ73" s="310" t="s">
        <v>676</v>
      </c>
      <c r="FR73" s="310"/>
      <c r="FS73" s="23" t="s">
        <v>555</v>
      </c>
      <c r="FT73" s="313" t="s">
        <v>235</v>
      </c>
      <c r="FU73" s="313"/>
      <c r="FV73" s="97" t="s">
        <v>390</v>
      </c>
      <c r="FX73" s="274" t="s">
        <v>677</v>
      </c>
      <c r="FY73" s="274" t="s">
        <v>354</v>
      </c>
      <c r="GA73" s="28" t="s">
        <v>678</v>
      </c>
      <c r="GB73" s="28" t="s">
        <v>452</v>
      </c>
      <c r="GD73" s="274" t="s">
        <v>677</v>
      </c>
      <c r="GE73" s="274" t="s">
        <v>679</v>
      </c>
      <c r="GG73" s="274" t="s">
        <v>677</v>
      </c>
      <c r="GH73" s="280" t="s">
        <v>680</v>
      </c>
      <c r="GI73" s="23" t="s">
        <v>681</v>
      </c>
      <c r="GJ73" s="23" t="s">
        <v>555</v>
      </c>
      <c r="GU73" s="314" t="s">
        <v>682</v>
      </c>
      <c r="GV73" s="314"/>
      <c r="GW73" s="318" t="s">
        <v>683</v>
      </c>
      <c r="GX73" s="318"/>
      <c r="GY73" s="310" t="s">
        <v>684</v>
      </c>
      <c r="GZ73" s="310"/>
      <c r="HA73" s="318" t="s">
        <v>685</v>
      </c>
      <c r="HB73" s="318"/>
      <c r="HC73" s="318" t="s">
        <v>686</v>
      </c>
      <c r="HD73" s="318"/>
      <c r="HE73" s="318" t="s">
        <v>687</v>
      </c>
      <c r="HF73" s="318"/>
      <c r="HG73" s="318" t="s">
        <v>688</v>
      </c>
      <c r="HH73" s="318"/>
      <c r="HI73" s="25"/>
      <c r="HJ73" s="149"/>
      <c r="HK73" s="25"/>
      <c r="HL73" s="323" t="s">
        <v>689</v>
      </c>
      <c r="HM73" s="323"/>
      <c r="HN73" s="310" t="s">
        <v>690</v>
      </c>
      <c r="HO73" s="310"/>
      <c r="HP73" s="310" t="s">
        <v>691</v>
      </c>
      <c r="HQ73" s="310"/>
      <c r="HR73" s="323" t="s">
        <v>692</v>
      </c>
      <c r="HS73" s="323"/>
      <c r="HT73" s="25"/>
      <c r="HU73" s="318" t="s">
        <v>693</v>
      </c>
      <c r="HV73" s="318"/>
      <c r="HW73" s="2"/>
      <c r="HX73" s="2"/>
      <c r="HY73" s="309"/>
      <c r="HZ73" s="309"/>
      <c r="IA73" s="25"/>
      <c r="IB73" s="309"/>
      <c r="IC73" s="309"/>
      <c r="ID73" s="318" t="s">
        <v>694</v>
      </c>
      <c r="IE73" s="318"/>
      <c r="IF73" s="310" t="s">
        <v>695</v>
      </c>
      <c r="IG73" s="310"/>
      <c r="IH73" s="314" t="s">
        <v>696</v>
      </c>
      <c r="II73" s="314"/>
      <c r="IJ73" s="318" t="s">
        <v>697</v>
      </c>
      <c r="IK73" s="318"/>
      <c r="IL73" s="239"/>
      <c r="IM73" s="29"/>
      <c r="IN73" s="310" t="s">
        <v>698</v>
      </c>
      <c r="IO73" s="310"/>
      <c r="IP73" s="2"/>
      <c r="IQ73" s="2"/>
      <c r="IR73" s="2"/>
      <c r="IS73" s="7"/>
      <c r="IT73" s="7"/>
      <c r="IU73" s="7"/>
      <c r="IV73" s="7"/>
      <c r="IW73" s="2"/>
      <c r="IX73" s="2"/>
      <c r="IY73" s="322"/>
      <c r="IZ73" s="322"/>
      <c r="JA73" s="7"/>
      <c r="JB73" s="7"/>
      <c r="JC73" s="318" t="s">
        <v>699</v>
      </c>
      <c r="JD73" s="318"/>
      <c r="JE73" s="318" t="s">
        <v>700</v>
      </c>
      <c r="JF73" s="318"/>
      <c r="JG73" s="2"/>
      <c r="JH73" s="2"/>
      <c r="JI73" s="2"/>
      <c r="JJ73" s="319"/>
      <c r="JK73" s="319"/>
      <c r="JL73" s="7"/>
      <c r="JM73" s="248"/>
      <c r="JN73" s="35"/>
      <c r="JO73" s="35"/>
      <c r="JP73" s="2"/>
      <c r="JQ73" s="2"/>
      <c r="JR73" s="2"/>
      <c r="JS73" s="2"/>
      <c r="JT73" s="29"/>
      <c r="JU73" s="28"/>
      <c r="JV73" s="28"/>
      <c r="JX73" s="318" t="s">
        <v>701</v>
      </c>
      <c r="JY73" s="318"/>
      <c r="JZ73" s="2"/>
      <c r="KA73" s="310" t="s">
        <v>702</v>
      </c>
      <c r="KB73" s="310"/>
      <c r="KG73" s="2"/>
      <c r="KH73" s="2"/>
      <c r="KI73" s="2"/>
      <c r="KJ73" s="2"/>
      <c r="KM73" s="318" t="s">
        <v>703</v>
      </c>
      <c r="KN73" s="318"/>
      <c r="KO73" s="328" t="s">
        <v>704</v>
      </c>
      <c r="KP73" s="328"/>
      <c r="KY73" s="329" t="s">
        <v>705</v>
      </c>
      <c r="KZ73" s="329"/>
      <c r="LB73" s="310" t="s">
        <v>706</v>
      </c>
      <c r="LC73" s="310"/>
      <c r="LU73" s="310" t="s">
        <v>707</v>
      </c>
      <c r="LV73" s="310"/>
      <c r="MB73" s="318" t="s">
        <v>708</v>
      </c>
      <c r="MC73" s="318"/>
      <c r="ME73" s="311" t="s">
        <v>709</v>
      </c>
      <c r="MF73" s="311"/>
    </row>
    <row r="74" spans="6:348" ht="17.25">
      <c r="F74" s="311" t="s">
        <v>710</v>
      </c>
      <c r="G74" s="311"/>
      <c r="H74" s="28" t="s">
        <v>342</v>
      </c>
      <c r="I74" s="336"/>
      <c r="J74" s="336"/>
      <c r="K74" s="336"/>
      <c r="L74" s="336"/>
      <c r="M74" s="336"/>
      <c r="AA74" s="38"/>
      <c r="AB74" s="52"/>
      <c r="AC74" s="38"/>
      <c r="AD74" s="38"/>
      <c r="AE74" s="39"/>
      <c r="AF74" s="244"/>
      <c r="AG74" s="39"/>
      <c r="AH74" s="7"/>
      <c r="AI74" s="38"/>
      <c r="AJ74" s="52"/>
      <c r="AK74" s="38"/>
      <c r="AL74" s="38"/>
      <c r="AM74" s="52"/>
      <c r="AN74" s="38"/>
      <c r="AO74" s="38"/>
      <c r="AP74" s="52"/>
      <c r="AQ74" s="38"/>
      <c r="AR74" s="7"/>
      <c r="AS74" s="38"/>
      <c r="AT74" s="52"/>
      <c r="AU74" s="38"/>
      <c r="AV74" s="2"/>
      <c r="AW74" s="57"/>
      <c r="AX74" s="2"/>
      <c r="AY74" s="38"/>
      <c r="AZ74" s="52"/>
      <c r="BA74" s="38"/>
      <c r="BB74" s="38"/>
      <c r="BC74" s="38"/>
      <c r="BD74" s="38"/>
      <c r="BF74" s="313" t="s">
        <v>235</v>
      </c>
      <c r="BG74" s="313"/>
      <c r="BH74" s="97" t="s">
        <v>273</v>
      </c>
      <c r="BI74" s="97"/>
      <c r="BJ74" s="313" t="s">
        <v>235</v>
      </c>
      <c r="BK74" s="313"/>
      <c r="BL74" s="281" t="s">
        <v>332</v>
      </c>
      <c r="BM74" s="7"/>
      <c r="BN74" s="313" t="s">
        <v>235</v>
      </c>
      <c r="BO74" s="313"/>
      <c r="BP74" s="274" t="s">
        <v>354</v>
      </c>
      <c r="BQ74" s="274"/>
      <c r="BR74" s="313" t="s">
        <v>235</v>
      </c>
      <c r="BS74" s="313"/>
      <c r="BT74" s="274" t="s">
        <v>711</v>
      </c>
      <c r="BU74" s="2"/>
      <c r="BV74" s="313" t="s">
        <v>235</v>
      </c>
      <c r="BW74" s="313"/>
      <c r="BX74" s="274" t="s">
        <v>338</v>
      </c>
      <c r="BZ74" s="313" t="s">
        <v>235</v>
      </c>
      <c r="CA74" s="313"/>
      <c r="CB74" s="274" t="s">
        <v>712</v>
      </c>
      <c r="CD74" s="2"/>
      <c r="CE74" s="2"/>
      <c r="CF74" s="2"/>
      <c r="CG74" s="7"/>
      <c r="CK74" s="310" t="s">
        <v>713</v>
      </c>
      <c r="CL74" s="310"/>
      <c r="CM74" s="68" t="s">
        <v>452</v>
      </c>
      <c r="CN74" s="2"/>
      <c r="CO74" s="312" t="s">
        <v>714</v>
      </c>
      <c r="CP74" s="312"/>
      <c r="CQ74" s="23" t="s">
        <v>390</v>
      </c>
      <c r="CR74" s="310" t="s">
        <v>715</v>
      </c>
      <c r="CS74" s="310"/>
      <c r="CT74" s="23" t="s">
        <v>342</v>
      </c>
      <c r="CU74" s="7"/>
      <c r="CV74" s="313" t="s">
        <v>235</v>
      </c>
      <c r="CW74" s="313"/>
      <c r="CX74" s="281" t="s">
        <v>424</v>
      </c>
      <c r="CY74" s="7"/>
      <c r="CZ74" s="312" t="s">
        <v>716</v>
      </c>
      <c r="DA74" s="312"/>
      <c r="DB74" s="23" t="s">
        <v>344</v>
      </c>
      <c r="DC74" s="7"/>
      <c r="DD74" s="310" t="s">
        <v>717</v>
      </c>
      <c r="DE74" s="310"/>
      <c r="DF74" s="68" t="s">
        <v>346</v>
      </c>
      <c r="DG74" s="2"/>
      <c r="DH74" s="2"/>
      <c r="DI74" s="2"/>
      <c r="DJ74" s="2"/>
      <c r="DK74" s="2"/>
      <c r="DL74" s="313" t="s">
        <v>235</v>
      </c>
      <c r="DM74" s="313"/>
      <c r="DN74" s="281" t="s">
        <v>718</v>
      </c>
      <c r="DP74" s="312" t="s">
        <v>719</v>
      </c>
      <c r="DQ74" s="312"/>
      <c r="DR74" s="108" t="s">
        <v>389</v>
      </c>
      <c r="DS74" s="7"/>
      <c r="DT74" s="313" t="s">
        <v>235</v>
      </c>
      <c r="DU74" s="313"/>
      <c r="DV74" s="274" t="s">
        <v>720</v>
      </c>
      <c r="DW74" s="46"/>
      <c r="DX74" s="313" t="s">
        <v>235</v>
      </c>
      <c r="DY74" s="313"/>
      <c r="DZ74" s="281" t="s">
        <v>721</v>
      </c>
      <c r="EA74" s="7"/>
      <c r="EB74" s="312" t="s">
        <v>722</v>
      </c>
      <c r="EC74" s="312"/>
      <c r="ED74" s="23" t="s">
        <v>350</v>
      </c>
      <c r="EE74" s="97"/>
      <c r="EF74" s="310" t="s">
        <v>723</v>
      </c>
      <c r="EG74" s="310"/>
      <c r="EH74" s="23" t="s">
        <v>724</v>
      </c>
      <c r="EI74" s="68"/>
      <c r="EJ74" s="310" t="s">
        <v>725</v>
      </c>
      <c r="EK74" s="310"/>
      <c r="EL74" s="23" t="s">
        <v>352</v>
      </c>
      <c r="EM74" s="23"/>
      <c r="EN74" s="313" t="s">
        <v>235</v>
      </c>
      <c r="EO74" s="313"/>
      <c r="EP74" s="274" t="s">
        <v>395</v>
      </c>
      <c r="EQ74" s="2"/>
      <c r="ER74" s="313" t="s">
        <v>235</v>
      </c>
      <c r="ES74" s="313"/>
      <c r="ET74" s="279" t="s">
        <v>398</v>
      </c>
      <c r="EU74" s="2"/>
      <c r="EV74" s="313" t="s">
        <v>235</v>
      </c>
      <c r="EW74" s="313"/>
      <c r="EX74" s="280" t="s">
        <v>726</v>
      </c>
      <c r="EY74" s="2"/>
      <c r="EZ74" s="2"/>
      <c r="FA74" s="313" t="s">
        <v>235</v>
      </c>
      <c r="FB74" s="313"/>
      <c r="FC74" s="283" t="s">
        <v>594</v>
      </c>
      <c r="FD74" s="6"/>
      <c r="FH74" s="310" t="s">
        <v>727</v>
      </c>
      <c r="FI74" s="310"/>
      <c r="FJ74" s="28" t="s">
        <v>398</v>
      </c>
      <c r="FK74" s="312" t="s">
        <v>728</v>
      </c>
      <c r="FL74" s="312"/>
      <c r="FM74" s="272" t="s">
        <v>271</v>
      </c>
      <c r="FN74" s="313" t="s">
        <v>235</v>
      </c>
      <c r="FO74" s="313"/>
      <c r="FP74" s="97" t="s">
        <v>338</v>
      </c>
      <c r="FQ74" s="310" t="s">
        <v>729</v>
      </c>
      <c r="FR74" s="310"/>
      <c r="FS74" s="23" t="s">
        <v>395</v>
      </c>
      <c r="FT74" s="313" t="s">
        <v>235</v>
      </c>
      <c r="FU74" s="313"/>
      <c r="FV74" s="97" t="s">
        <v>350</v>
      </c>
      <c r="FX74" s="274" t="s">
        <v>677</v>
      </c>
      <c r="FY74" s="274" t="s">
        <v>380</v>
      </c>
      <c r="GA74" s="28" t="s">
        <v>730</v>
      </c>
      <c r="GB74" s="23" t="s">
        <v>401</v>
      </c>
      <c r="GD74" s="274" t="s">
        <v>677</v>
      </c>
      <c r="GE74" s="280" t="s">
        <v>344</v>
      </c>
      <c r="GI74" s="23" t="s">
        <v>731</v>
      </c>
      <c r="GJ74" s="23" t="s">
        <v>342</v>
      </c>
      <c r="GU74" s="327" t="s">
        <v>732</v>
      </c>
      <c r="GV74" s="327"/>
      <c r="GW74" s="7"/>
      <c r="GX74" s="7"/>
      <c r="GY74" s="7"/>
      <c r="GZ74" s="7"/>
      <c r="HA74" s="326"/>
      <c r="HB74" s="326"/>
      <c r="HC74" s="309"/>
      <c r="HD74" s="309"/>
      <c r="HE74" s="239"/>
      <c r="HF74" s="7"/>
      <c r="HG74" s="2"/>
      <c r="HH74" s="2"/>
      <c r="HI74" s="2"/>
      <c r="HJ74" s="2"/>
      <c r="HK74" s="2"/>
      <c r="HL74" s="2"/>
      <c r="HM74" s="2"/>
      <c r="HN74" s="2"/>
      <c r="HO74" s="2"/>
      <c r="HP74" s="318" t="s">
        <v>733</v>
      </c>
      <c r="HQ74" s="318"/>
      <c r="HR74" s="323" t="s">
        <v>734</v>
      </c>
      <c r="HS74" s="323"/>
      <c r="HT74" s="269"/>
      <c r="HU74" s="309"/>
      <c r="HV74" s="309"/>
      <c r="HW74" s="2"/>
      <c r="HX74" s="2"/>
      <c r="HY74" s="2"/>
      <c r="HZ74" s="2"/>
      <c r="IA74" s="2"/>
      <c r="IB74" s="2"/>
      <c r="IC74" s="2"/>
      <c r="ID74" s="2"/>
      <c r="IE74" s="2"/>
      <c r="IF74" s="317"/>
      <c r="IG74" s="317"/>
      <c r="IH74" s="2"/>
      <c r="II74" s="2"/>
      <c r="IJ74" s="323" t="s">
        <v>735</v>
      </c>
      <c r="IK74" s="323"/>
      <c r="IL74" s="239"/>
      <c r="IM74" s="259"/>
      <c r="IN74" s="310" t="s">
        <v>736</v>
      </c>
      <c r="IO74" s="310"/>
      <c r="IP74" s="7"/>
      <c r="IQ74" s="7"/>
      <c r="IR74" s="7"/>
      <c r="IS74" s="7"/>
      <c r="IT74" s="7"/>
      <c r="IU74" s="7"/>
      <c r="IV74" s="7"/>
      <c r="IW74" s="2"/>
      <c r="IX74" s="2"/>
      <c r="IY74" s="2"/>
      <c r="IZ74" s="2"/>
      <c r="JA74" s="7"/>
      <c r="JB74" s="7"/>
      <c r="JC74" s="318" t="s">
        <v>737</v>
      </c>
      <c r="JD74" s="318"/>
      <c r="JE74" s="310" t="s">
        <v>738</v>
      </c>
      <c r="JF74" s="310"/>
      <c r="JG74" s="239"/>
      <c r="JH74" s="239"/>
      <c r="JI74" s="2"/>
      <c r="JJ74" s="6"/>
      <c r="JK74" s="6"/>
      <c r="JL74" s="97"/>
      <c r="JM74" s="7"/>
      <c r="JN74" s="7"/>
      <c r="JO74" s="7"/>
      <c r="JP74" s="2"/>
      <c r="JQ74" s="2"/>
      <c r="JR74" s="2"/>
      <c r="JS74" s="2"/>
      <c r="JT74" s="29"/>
      <c r="JU74" s="29"/>
      <c r="JV74" s="29"/>
      <c r="JX74" s="324" t="s">
        <v>739</v>
      </c>
      <c r="JY74" s="324"/>
      <c r="JZ74" s="2"/>
      <c r="KA74" s="2"/>
      <c r="KB74" s="2"/>
      <c r="KO74" s="325" t="s">
        <v>740</v>
      </c>
      <c r="KP74" s="325"/>
    </row>
    <row r="75" spans="6:348" ht="18">
      <c r="F75" s="311" t="s">
        <v>741</v>
      </c>
      <c r="G75" s="311"/>
      <c r="H75" s="28" t="s">
        <v>389</v>
      </c>
      <c r="I75" s="336"/>
      <c r="J75" s="336"/>
      <c r="K75" s="336"/>
      <c r="L75" s="336"/>
      <c r="M75" s="336"/>
      <c r="AA75" s="29"/>
      <c r="AB75" s="207"/>
      <c r="AC75" s="29"/>
      <c r="AD75" s="38"/>
      <c r="AE75" s="2"/>
      <c r="AF75" s="57"/>
      <c r="AG75" s="2"/>
      <c r="AH75" s="7"/>
      <c r="AI75" s="29"/>
      <c r="AJ75" s="207"/>
      <c r="AK75" s="29"/>
      <c r="AL75" s="284"/>
      <c r="AM75" s="285"/>
      <c r="AN75" s="23"/>
      <c r="AO75" s="29"/>
      <c r="AP75" s="207"/>
      <c r="AQ75" s="7"/>
      <c r="AR75" s="7"/>
      <c r="AS75" s="38"/>
      <c r="AT75" s="52"/>
      <c r="AU75" s="38"/>
      <c r="AV75" s="38"/>
      <c r="AW75" s="52"/>
      <c r="AX75" s="38"/>
      <c r="AY75" s="38"/>
      <c r="AZ75" s="52"/>
      <c r="BA75" s="38"/>
      <c r="BB75" s="38"/>
      <c r="BC75" s="38"/>
      <c r="BD75" s="38"/>
      <c r="BF75" s="313" t="s">
        <v>235</v>
      </c>
      <c r="BG75" s="313"/>
      <c r="BH75" s="281" t="s">
        <v>742</v>
      </c>
      <c r="BI75" s="2"/>
      <c r="BJ75" s="313" t="s">
        <v>235</v>
      </c>
      <c r="BK75" s="313"/>
      <c r="BL75" s="274" t="s">
        <v>381</v>
      </c>
      <c r="BM75" s="7"/>
      <c r="BN75" s="322" t="s">
        <v>235</v>
      </c>
      <c r="BO75" s="322"/>
      <c r="BP75" s="286" t="s">
        <v>354</v>
      </c>
      <c r="BQ75" s="2"/>
      <c r="BR75" s="313" t="s">
        <v>235</v>
      </c>
      <c r="BS75" s="313"/>
      <c r="BT75" s="97" t="s">
        <v>743</v>
      </c>
      <c r="BU75" s="274"/>
      <c r="BV75" s="313" t="s">
        <v>235</v>
      </c>
      <c r="BW75" s="313"/>
      <c r="BX75" s="280" t="s">
        <v>744</v>
      </c>
      <c r="CC75" s="97"/>
      <c r="CD75" s="2"/>
      <c r="CE75" s="2"/>
      <c r="CF75" s="2"/>
      <c r="CG75" s="7"/>
      <c r="CH75" s="2"/>
      <c r="CI75" s="2"/>
      <c r="CJ75" s="2"/>
      <c r="CK75" s="310" t="s">
        <v>745</v>
      </c>
      <c r="CL75" s="310"/>
      <c r="CM75" s="68" t="s">
        <v>746</v>
      </c>
      <c r="CN75" s="46"/>
      <c r="CR75" s="313" t="s">
        <v>235</v>
      </c>
      <c r="CS75" s="313"/>
      <c r="CT75" s="274" t="s">
        <v>342</v>
      </c>
      <c r="CU75" s="97"/>
      <c r="CV75" s="313" t="s">
        <v>235</v>
      </c>
      <c r="CW75" s="313"/>
      <c r="CX75" s="97" t="s">
        <v>747</v>
      </c>
      <c r="CY75" s="7"/>
      <c r="CZ75" s="7"/>
      <c r="DA75" s="7"/>
      <c r="DB75" s="7"/>
      <c r="DC75" s="7"/>
      <c r="DD75" s="313" t="s">
        <v>235</v>
      </c>
      <c r="DE75" s="313"/>
      <c r="DF75" s="274" t="s">
        <v>346</v>
      </c>
      <c r="DG75" s="7"/>
      <c r="DH75" s="2"/>
      <c r="DI75" s="2"/>
      <c r="DJ75" s="2"/>
      <c r="DK75" s="2"/>
      <c r="DO75" s="68"/>
      <c r="DP75" s="321" t="s">
        <v>748</v>
      </c>
      <c r="DQ75" s="321"/>
      <c r="DR75" s="287" t="s">
        <v>389</v>
      </c>
      <c r="DS75" s="46"/>
      <c r="DW75" s="2"/>
      <c r="DX75" s="2"/>
      <c r="DY75" s="2"/>
      <c r="DZ75" s="2"/>
      <c r="EA75" s="2"/>
      <c r="EB75" s="310" t="s">
        <v>749</v>
      </c>
      <c r="EC75" s="310"/>
      <c r="ED75" s="23" t="s">
        <v>750</v>
      </c>
      <c r="EE75" s="35"/>
      <c r="EF75" s="313" t="s">
        <v>235</v>
      </c>
      <c r="EG75" s="313"/>
      <c r="EH75" s="274" t="s">
        <v>555</v>
      </c>
      <c r="EI75" s="7"/>
      <c r="EJ75" s="312" t="s">
        <v>751</v>
      </c>
      <c r="EK75" s="312"/>
      <c r="EL75" s="31" t="s">
        <v>352</v>
      </c>
      <c r="EM75" s="23"/>
      <c r="EN75" s="313" t="s">
        <v>235</v>
      </c>
      <c r="EO75" s="313"/>
      <c r="EP75" s="281" t="s">
        <v>752</v>
      </c>
      <c r="EQ75" s="2"/>
      <c r="ER75" s="313" t="s">
        <v>235</v>
      </c>
      <c r="ES75" s="313"/>
      <c r="ET75" s="279" t="s">
        <v>398</v>
      </c>
      <c r="EU75" s="280"/>
      <c r="EV75" s="2"/>
      <c r="EW75" s="2"/>
      <c r="EX75" s="2"/>
      <c r="EY75" s="6"/>
      <c r="EZ75" s="2"/>
      <c r="FA75" s="6"/>
      <c r="FB75" s="288"/>
      <c r="FC75" s="288"/>
      <c r="FD75" s="6"/>
      <c r="FE75" s="2"/>
      <c r="FF75" s="2"/>
      <c r="FG75" s="2"/>
      <c r="FH75" s="310" t="s">
        <v>753</v>
      </c>
      <c r="FI75" s="310"/>
      <c r="FJ75" s="23" t="s">
        <v>399</v>
      </c>
      <c r="FK75" s="313" t="s">
        <v>235</v>
      </c>
      <c r="FL75" s="313"/>
      <c r="FM75" s="97" t="s">
        <v>277</v>
      </c>
      <c r="FX75" s="274" t="s">
        <v>677</v>
      </c>
      <c r="FY75" s="274" t="s">
        <v>273</v>
      </c>
      <c r="GI75" s="23" t="s">
        <v>754</v>
      </c>
      <c r="GJ75" s="23" t="s">
        <v>390</v>
      </c>
      <c r="GU75" s="7"/>
      <c r="GV75" s="289"/>
      <c r="GW75" s="7"/>
      <c r="GX75" s="7"/>
      <c r="GY75" s="7"/>
      <c r="GZ75" s="7"/>
      <c r="HA75" s="7"/>
      <c r="HB75" s="7"/>
      <c r="HC75" s="2"/>
      <c r="HD75" s="2"/>
      <c r="HE75" s="97"/>
      <c r="HF75" s="228"/>
      <c r="HG75" s="7"/>
      <c r="HH75" s="7"/>
      <c r="HI75" s="7"/>
      <c r="HJ75" s="2"/>
      <c r="HK75" s="2"/>
      <c r="HL75" s="2"/>
      <c r="HM75" s="2"/>
      <c r="HN75" s="2"/>
      <c r="HO75" s="2"/>
      <c r="HP75" s="317"/>
      <c r="HQ75" s="317"/>
      <c r="HT75" s="269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7"/>
      <c r="IN75" s="310" t="s">
        <v>755</v>
      </c>
      <c r="IO75" s="310"/>
      <c r="IP75" s="228"/>
      <c r="IQ75" s="7"/>
      <c r="IR75" s="7"/>
      <c r="IS75" s="7"/>
      <c r="IT75" s="259"/>
      <c r="IU75" s="2"/>
      <c r="IV75" s="2"/>
      <c r="IW75" s="2"/>
      <c r="IX75" s="2"/>
      <c r="IY75" s="7"/>
      <c r="IZ75" s="7"/>
      <c r="JA75" s="7"/>
      <c r="JB75" s="7"/>
      <c r="JC75" s="318" t="s">
        <v>756</v>
      </c>
      <c r="JD75" s="318"/>
      <c r="JE75" s="29"/>
      <c r="JF75" s="29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KO75" s="318" t="s">
        <v>757</v>
      </c>
      <c r="KP75" s="318"/>
    </row>
    <row r="76" spans="6:348" ht="17.25">
      <c r="F76" s="311" t="s">
        <v>758</v>
      </c>
      <c r="G76" s="311"/>
      <c r="H76" s="28" t="s">
        <v>390</v>
      </c>
      <c r="I76" s="319"/>
      <c r="J76" s="319"/>
      <c r="K76" s="319"/>
      <c r="L76" s="319"/>
      <c r="M76" s="319"/>
      <c r="AA76" s="310" t="s">
        <v>759</v>
      </c>
      <c r="AB76" s="310"/>
      <c r="AC76" s="29" t="s">
        <v>389</v>
      </c>
      <c r="AD76" s="38"/>
      <c r="AE76" s="310" t="s">
        <v>760</v>
      </c>
      <c r="AF76" s="310"/>
      <c r="AG76" s="29" t="s">
        <v>401</v>
      </c>
      <c r="AH76" s="7"/>
      <c r="AI76" s="310" t="s">
        <v>761</v>
      </c>
      <c r="AJ76" s="310"/>
      <c r="AK76" s="29" t="s">
        <v>336</v>
      </c>
      <c r="AL76" s="320" t="s">
        <v>762</v>
      </c>
      <c r="AM76" s="320"/>
      <c r="AN76" s="23" t="s">
        <v>273</v>
      </c>
      <c r="AO76" s="310" t="s">
        <v>763</v>
      </c>
      <c r="AP76" s="310"/>
      <c r="AQ76" s="7" t="s">
        <v>385</v>
      </c>
      <c r="AR76" s="7"/>
      <c r="AS76" s="310" t="s">
        <v>764</v>
      </c>
      <c r="AT76" s="310"/>
      <c r="AU76" s="29" t="s">
        <v>363</v>
      </c>
      <c r="AV76" s="310" t="s">
        <v>765</v>
      </c>
      <c r="AW76" s="310"/>
      <c r="AX76" s="28" t="s">
        <v>338</v>
      </c>
      <c r="AY76" s="310" t="s">
        <v>766</v>
      </c>
      <c r="AZ76" s="310"/>
      <c r="BA76" s="31" t="s">
        <v>424</v>
      </c>
      <c r="BB76" s="38"/>
      <c r="BC76" s="38"/>
      <c r="BD76" s="38"/>
      <c r="BF76" s="2"/>
      <c r="BG76" s="2"/>
      <c r="BH76" s="2"/>
      <c r="BI76" s="7"/>
      <c r="BJ76" s="313" t="s">
        <v>235</v>
      </c>
      <c r="BK76" s="313"/>
      <c r="BL76" s="274" t="s">
        <v>380</v>
      </c>
      <c r="BM76" s="97"/>
      <c r="BN76" s="35"/>
      <c r="BO76" s="35"/>
      <c r="BP76" s="35"/>
      <c r="BQ76" s="35"/>
      <c r="BU76" s="2"/>
      <c r="BV76" s="313" t="s">
        <v>235</v>
      </c>
      <c r="BW76" s="313"/>
      <c r="BX76" s="280" t="s">
        <v>744</v>
      </c>
      <c r="BY76" s="2"/>
      <c r="BZ76" s="35"/>
      <c r="CA76" s="35"/>
      <c r="CB76" s="35"/>
      <c r="CC76" s="35"/>
      <c r="CD76" s="35"/>
      <c r="CE76" s="35"/>
      <c r="CF76" s="35"/>
      <c r="CG76" s="7"/>
      <c r="CH76" s="2"/>
      <c r="CI76" s="2"/>
      <c r="CJ76" s="2"/>
      <c r="CK76" s="310" t="s">
        <v>767</v>
      </c>
      <c r="CL76" s="310"/>
      <c r="CM76" s="236" t="s">
        <v>452</v>
      </c>
      <c r="CN76" s="259"/>
      <c r="CO76" s="313"/>
      <c r="CP76" s="313"/>
      <c r="CR76" s="313" t="s">
        <v>235</v>
      </c>
      <c r="CS76" s="313"/>
      <c r="CT76" s="274" t="s">
        <v>342</v>
      </c>
      <c r="CU76" s="7"/>
      <c r="CY76" s="7"/>
      <c r="CZ76" s="143"/>
      <c r="DA76" s="143"/>
      <c r="DB76" s="7"/>
      <c r="DC76" s="7"/>
      <c r="DD76" s="313" t="s">
        <v>235</v>
      </c>
      <c r="DE76" s="313"/>
      <c r="DF76" s="274" t="s">
        <v>346</v>
      </c>
      <c r="DG76" s="7"/>
      <c r="DH76" s="35"/>
      <c r="DI76" s="35"/>
      <c r="DJ76" s="35"/>
      <c r="DK76" s="281"/>
      <c r="DL76" s="2"/>
      <c r="DM76" s="2"/>
      <c r="DN76" s="2"/>
      <c r="DO76" s="281"/>
      <c r="DS76" s="49"/>
      <c r="DX76" s="2"/>
      <c r="DY76" s="2"/>
      <c r="DZ76" s="2"/>
      <c r="EA76" s="7"/>
      <c r="EE76" s="2"/>
      <c r="EF76" s="313"/>
      <c r="EG76" s="313"/>
      <c r="EH76" s="274"/>
      <c r="EI76" s="2"/>
      <c r="EJ76" s="313" t="s">
        <v>235</v>
      </c>
      <c r="EK76" s="313"/>
      <c r="EL76" s="274" t="s">
        <v>352</v>
      </c>
      <c r="EM76" s="290"/>
      <c r="EQ76" s="7"/>
      <c r="ER76" s="313" t="s">
        <v>235</v>
      </c>
      <c r="ES76" s="313"/>
      <c r="ET76" s="280" t="s">
        <v>768</v>
      </c>
      <c r="EU76" s="7"/>
      <c r="EV76" s="7"/>
      <c r="EW76" s="7"/>
      <c r="EX76" s="7"/>
      <c r="EY76" s="6"/>
      <c r="EZ76" s="2"/>
      <c r="FA76" s="108"/>
      <c r="FB76" s="310"/>
      <c r="FC76" s="310"/>
      <c r="FD76" s="274"/>
      <c r="FE76" s="310"/>
      <c r="FF76" s="310"/>
      <c r="FG76" s="23"/>
      <c r="FH76" s="313" t="s">
        <v>235</v>
      </c>
      <c r="FI76" s="313"/>
      <c r="FJ76" s="97" t="s">
        <v>452</v>
      </c>
      <c r="FK76" s="313" t="s">
        <v>235</v>
      </c>
      <c r="FL76" s="313"/>
      <c r="FM76" s="97" t="s">
        <v>271</v>
      </c>
      <c r="FN76" s="316"/>
      <c r="FO76" s="316"/>
      <c r="FP76" s="287"/>
      <c r="FQ76" s="313"/>
      <c r="FR76" s="313"/>
      <c r="FS76" s="280"/>
      <c r="FT76" s="2"/>
      <c r="FV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7"/>
      <c r="IN76" s="310" t="s">
        <v>769</v>
      </c>
      <c r="IO76" s="310"/>
      <c r="IP76" s="239"/>
      <c r="IQ76" s="2"/>
      <c r="IR76" s="2"/>
      <c r="IS76" s="7"/>
      <c r="IT76" s="259"/>
      <c r="IU76" s="2"/>
      <c r="IV76" s="2"/>
      <c r="IW76" s="2"/>
      <c r="IX76" s="2"/>
      <c r="IY76" s="2"/>
      <c r="IZ76" s="2"/>
      <c r="JA76" s="7"/>
      <c r="JB76" s="7"/>
      <c r="JC76" s="309"/>
      <c r="JD76" s="309"/>
      <c r="JE76" s="29"/>
      <c r="JF76" s="29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</row>
    <row r="77" spans="6:348" ht="17.25">
      <c r="F77" s="311" t="s">
        <v>770</v>
      </c>
      <c r="G77" s="311"/>
      <c r="H77" s="23" t="s">
        <v>555</v>
      </c>
      <c r="I77" s="11"/>
      <c r="J77" s="11"/>
      <c r="K77" s="6"/>
      <c r="L77" s="7"/>
      <c r="M77" s="7"/>
      <c r="AA77" s="310" t="s">
        <v>771</v>
      </c>
      <c r="AB77" s="310"/>
      <c r="AC77" s="29" t="s">
        <v>389</v>
      </c>
      <c r="AD77" s="29"/>
      <c r="AE77" s="310" t="s">
        <v>772</v>
      </c>
      <c r="AF77" s="310"/>
      <c r="AG77" s="29" t="s">
        <v>401</v>
      </c>
      <c r="AH77" s="7"/>
      <c r="AI77" s="310" t="s">
        <v>773</v>
      </c>
      <c r="AJ77" s="310"/>
      <c r="AK77" s="29" t="s">
        <v>354</v>
      </c>
      <c r="AL77" s="310" t="s">
        <v>774</v>
      </c>
      <c r="AM77" s="310"/>
      <c r="AN77" s="23" t="s">
        <v>273</v>
      </c>
      <c r="AO77" s="310" t="s">
        <v>775</v>
      </c>
      <c r="AP77" s="310"/>
      <c r="AQ77" s="7" t="s">
        <v>385</v>
      </c>
      <c r="AR77" s="7"/>
      <c r="AS77" s="310" t="s">
        <v>776</v>
      </c>
      <c r="AT77" s="310"/>
      <c r="AU77" s="29" t="s">
        <v>363</v>
      </c>
      <c r="AV77" s="310" t="s">
        <v>777</v>
      </c>
      <c r="AW77" s="310"/>
      <c r="AX77" s="28" t="s">
        <v>338</v>
      </c>
      <c r="AY77" s="310" t="s">
        <v>778</v>
      </c>
      <c r="AZ77" s="310"/>
      <c r="BA77" s="31" t="s">
        <v>344</v>
      </c>
      <c r="BB77" s="313"/>
      <c r="BC77" s="313"/>
      <c r="BD77" s="97"/>
      <c r="BF77" s="2"/>
      <c r="BG77" s="2"/>
      <c r="BH77" s="2"/>
      <c r="BI77" s="7"/>
      <c r="BJ77" s="313" t="s">
        <v>235</v>
      </c>
      <c r="BK77" s="313"/>
      <c r="BL77" s="274" t="s">
        <v>380</v>
      </c>
      <c r="BM77" s="7"/>
      <c r="BQ77" s="143"/>
      <c r="BU77" s="143"/>
      <c r="BY77" s="2"/>
      <c r="BZ77" s="7"/>
      <c r="CA77" s="7"/>
      <c r="CB77" s="7"/>
      <c r="CC77" s="47"/>
      <c r="CD77" s="7"/>
      <c r="CE77" s="7"/>
      <c r="CF77" s="7"/>
      <c r="CG77" s="7"/>
      <c r="CH77" s="2"/>
      <c r="CI77" s="2"/>
      <c r="CJ77" s="2"/>
      <c r="CK77" s="313" t="s">
        <v>235</v>
      </c>
      <c r="CL77" s="313"/>
      <c r="CM77" s="279" t="s">
        <v>452</v>
      </c>
      <c r="CN77" s="291"/>
      <c r="CQ77" s="2"/>
      <c r="CR77" s="313" t="s">
        <v>235</v>
      </c>
      <c r="CS77" s="313"/>
      <c r="CT77" s="274" t="s">
        <v>342</v>
      </c>
      <c r="CU77" s="2"/>
      <c r="CV77" s="310"/>
      <c r="CW77" s="310"/>
      <c r="CX77" s="68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S77" s="2"/>
      <c r="DX77" s="2"/>
      <c r="DY77" s="2"/>
      <c r="DZ77" s="2"/>
      <c r="EA77" s="2"/>
      <c r="EB77" s="2"/>
      <c r="EC77" s="2"/>
      <c r="ED77" s="2"/>
      <c r="EE77" s="7"/>
      <c r="EF77" s="2"/>
      <c r="EG77" s="2"/>
      <c r="EH77" s="2"/>
      <c r="EI77" s="7"/>
      <c r="EJ77" s="313" t="s">
        <v>235</v>
      </c>
      <c r="EK77" s="313"/>
      <c r="EL77" s="274" t="s">
        <v>352</v>
      </c>
      <c r="EM77" s="108"/>
      <c r="EQ77" s="28"/>
      <c r="ER77" s="28"/>
      <c r="ES77" s="28"/>
      <c r="ET77" s="28"/>
      <c r="EU77" s="28"/>
      <c r="EV77" s="28"/>
      <c r="EW77" s="28"/>
      <c r="EX77" s="28"/>
      <c r="EY77" s="2"/>
      <c r="EZ77" s="2"/>
      <c r="FE77" s="2"/>
      <c r="FF77" s="2"/>
      <c r="FG77" s="2"/>
      <c r="FH77" s="313" t="s">
        <v>235</v>
      </c>
      <c r="FI77" s="313"/>
      <c r="FJ77" s="97" t="s">
        <v>401</v>
      </c>
      <c r="FT77" s="2"/>
      <c r="FU77" s="2"/>
    </row>
    <row r="78" spans="6:348" ht="17.25">
      <c r="F78" s="311" t="s">
        <v>779</v>
      </c>
      <c r="G78" s="311"/>
      <c r="H78" s="28" t="s">
        <v>452</v>
      </c>
      <c r="I78" s="11"/>
      <c r="J78" s="11"/>
      <c r="K78" s="6"/>
      <c r="L78" s="7"/>
      <c r="M78" s="2"/>
      <c r="AA78" s="310" t="s">
        <v>780</v>
      </c>
      <c r="AB78" s="310"/>
      <c r="AC78" s="20" t="s">
        <v>277</v>
      </c>
      <c r="AD78" s="7"/>
      <c r="AE78" s="310" t="s">
        <v>781</v>
      </c>
      <c r="AF78" s="310"/>
      <c r="AG78" s="29" t="s">
        <v>398</v>
      </c>
      <c r="AH78" s="7"/>
      <c r="AI78" s="310" t="s">
        <v>782</v>
      </c>
      <c r="AJ78" s="310"/>
      <c r="AK78" s="29" t="s">
        <v>271</v>
      </c>
      <c r="AL78" s="310" t="s">
        <v>783</v>
      </c>
      <c r="AM78" s="310"/>
      <c r="AN78" s="23" t="s">
        <v>380</v>
      </c>
      <c r="AO78" s="310" t="s">
        <v>784</v>
      </c>
      <c r="AP78" s="310"/>
      <c r="AQ78" s="7" t="s">
        <v>427</v>
      </c>
      <c r="AR78" s="7"/>
      <c r="AS78" s="310" t="s">
        <v>785</v>
      </c>
      <c r="AT78" s="310"/>
      <c r="AU78" s="29" t="s">
        <v>390</v>
      </c>
      <c r="AV78" s="310" t="s">
        <v>786</v>
      </c>
      <c r="AW78" s="310"/>
      <c r="AX78" s="23" t="s">
        <v>338</v>
      </c>
      <c r="AY78" s="39"/>
      <c r="AZ78" s="39"/>
      <c r="BA78" s="39"/>
      <c r="BB78" s="7"/>
      <c r="BC78" s="7"/>
      <c r="BD78" s="7"/>
      <c r="BF78" s="2"/>
      <c r="BG78" s="2"/>
      <c r="BH78" s="2"/>
      <c r="BI78" s="7"/>
      <c r="BJ78" s="313" t="s">
        <v>235</v>
      </c>
      <c r="BK78" s="313"/>
      <c r="BL78" s="281" t="s">
        <v>787</v>
      </c>
      <c r="BM78" s="35"/>
      <c r="BN78" s="315"/>
      <c r="BO78" s="315"/>
      <c r="BP78" s="7"/>
      <c r="BQ78" s="7"/>
      <c r="BU78" s="7"/>
      <c r="BV78" s="2"/>
      <c r="BW78" s="2"/>
      <c r="BX78" s="2"/>
      <c r="BY78" s="279"/>
      <c r="BZ78" s="7"/>
      <c r="CA78" s="7"/>
      <c r="CB78" s="7"/>
      <c r="CC78" s="7"/>
      <c r="CD78" s="130"/>
      <c r="CE78" s="130"/>
      <c r="CF78" s="130"/>
      <c r="CG78" s="130"/>
      <c r="CH78" s="2"/>
      <c r="CI78" s="2"/>
      <c r="CJ78" s="2"/>
      <c r="CK78" s="313" t="s">
        <v>235</v>
      </c>
      <c r="CL78" s="313"/>
      <c r="CM78" s="279" t="s">
        <v>452</v>
      </c>
      <c r="CN78" s="7"/>
      <c r="CO78" s="2"/>
      <c r="CP78" s="2"/>
      <c r="CQ78" s="2"/>
      <c r="CR78" s="313" t="s">
        <v>235</v>
      </c>
      <c r="CS78" s="313"/>
      <c r="CT78" s="274" t="s">
        <v>342</v>
      </c>
      <c r="CU78" s="28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S78" s="2"/>
      <c r="DW78" s="2"/>
      <c r="DX78" s="2"/>
      <c r="DY78" s="2"/>
      <c r="DZ78" s="2"/>
      <c r="EA78" s="2"/>
      <c r="EE78" s="2"/>
      <c r="EF78" s="2"/>
      <c r="EG78" s="2"/>
      <c r="EH78" s="2"/>
      <c r="EI78" s="2"/>
      <c r="EJ78" s="313" t="s">
        <v>235</v>
      </c>
      <c r="EK78" s="313"/>
      <c r="EL78" s="280" t="s">
        <v>788</v>
      </c>
      <c r="EM78" s="2"/>
      <c r="EQ78" s="2"/>
      <c r="ER78" s="2"/>
      <c r="ES78" s="2"/>
      <c r="ET78" s="2"/>
      <c r="EU78" s="2"/>
      <c r="EV78" s="2"/>
      <c r="EW78" s="2"/>
      <c r="EX78" s="2"/>
      <c r="EY78" s="2"/>
      <c r="FB78" s="23"/>
      <c r="FC78" s="2"/>
      <c r="FD78" s="2"/>
      <c r="FG78" s="274"/>
      <c r="FH78" s="274"/>
      <c r="FI78" s="6"/>
      <c r="FJ78" s="2"/>
      <c r="FN78" s="2"/>
      <c r="FO78" s="2"/>
      <c r="FQ78" s="313"/>
      <c r="FR78" s="313"/>
      <c r="FS78" s="97"/>
      <c r="FT78" s="2"/>
    </row>
    <row r="79" spans="6:348" ht="17.25">
      <c r="F79" s="311" t="s">
        <v>789</v>
      </c>
      <c r="G79" s="311"/>
      <c r="H79" s="68" t="s">
        <v>346</v>
      </c>
      <c r="I79" s="11"/>
      <c r="J79" s="11"/>
      <c r="K79" s="2"/>
      <c r="L79" s="2"/>
      <c r="M79" s="2"/>
      <c r="AA79" s="310" t="s">
        <v>790</v>
      </c>
      <c r="AB79" s="310"/>
      <c r="AC79" s="29" t="s">
        <v>395</v>
      </c>
      <c r="AD79" s="7"/>
      <c r="AE79" s="310" t="s">
        <v>791</v>
      </c>
      <c r="AF79" s="310"/>
      <c r="AG79" s="29" t="s">
        <v>452</v>
      </c>
      <c r="AH79" s="7"/>
      <c r="AI79" s="309"/>
      <c r="AJ79" s="309"/>
      <c r="AK79" s="266"/>
      <c r="AL79" s="310" t="s">
        <v>792</v>
      </c>
      <c r="AM79" s="310"/>
      <c r="AN79" s="23" t="s">
        <v>332</v>
      </c>
      <c r="AO79" s="310" t="s">
        <v>793</v>
      </c>
      <c r="AP79" s="310"/>
      <c r="AQ79" s="7" t="s">
        <v>427</v>
      </c>
      <c r="AR79" s="7"/>
      <c r="AS79" s="310" t="s">
        <v>794</v>
      </c>
      <c r="AT79" s="310"/>
      <c r="AU79" s="29" t="s">
        <v>390</v>
      </c>
      <c r="AV79" s="314" t="s">
        <v>795</v>
      </c>
      <c r="AW79" s="314"/>
      <c r="AX79" s="7" t="s">
        <v>393</v>
      </c>
      <c r="AY79" s="309"/>
      <c r="AZ79" s="309"/>
      <c r="BA79" s="292"/>
      <c r="BB79" s="28"/>
      <c r="BC79" s="7"/>
      <c r="BD79" s="7"/>
      <c r="BF79" s="2"/>
      <c r="BG79" s="2"/>
      <c r="BH79" s="2"/>
      <c r="BI79" s="7"/>
      <c r="BM79" s="2"/>
      <c r="BN79" s="2"/>
      <c r="BO79" s="2"/>
      <c r="BP79" s="2"/>
      <c r="BQ79" s="7"/>
      <c r="BR79" s="7"/>
      <c r="BS79" s="7"/>
      <c r="BT79" s="7"/>
      <c r="BU79" s="7"/>
      <c r="BV79" s="2"/>
      <c r="BW79" s="2"/>
      <c r="BX79" s="2"/>
      <c r="BY79" s="2"/>
      <c r="BZ79" s="2"/>
      <c r="CA79" s="2"/>
      <c r="CB79" s="2"/>
      <c r="CC79" s="2"/>
      <c r="CD79" s="130"/>
      <c r="CE79" s="130"/>
      <c r="CF79" s="130"/>
      <c r="CG79" s="130"/>
      <c r="CH79" s="2"/>
      <c r="CI79" s="2"/>
      <c r="CJ79" s="2"/>
      <c r="CK79" s="313" t="s">
        <v>235</v>
      </c>
      <c r="CL79" s="313"/>
      <c r="CM79" s="280" t="s">
        <v>746</v>
      </c>
      <c r="CN79" s="2"/>
      <c r="CO79" s="2"/>
      <c r="CP79" s="2"/>
      <c r="CQ79" s="2"/>
      <c r="CR79" s="2"/>
      <c r="CS79" s="2"/>
      <c r="CT79" s="2"/>
      <c r="CU79" s="28"/>
      <c r="CY79" s="2"/>
      <c r="CZ79" s="46"/>
      <c r="DA79" s="143"/>
      <c r="DB79" s="143"/>
      <c r="DC79" s="7"/>
      <c r="DD79" s="7"/>
      <c r="DE79" s="46"/>
      <c r="DF79" s="46"/>
      <c r="DG79" s="7"/>
      <c r="DH79" s="7"/>
      <c r="DI79" s="7"/>
      <c r="DJ79" s="7"/>
      <c r="DK79" s="7"/>
      <c r="DL79" s="7"/>
      <c r="DM79" s="7"/>
      <c r="DN79" s="7"/>
      <c r="DO79" s="7"/>
      <c r="DS79" s="2"/>
      <c r="DT79" s="49"/>
      <c r="DU79" s="49"/>
      <c r="DV79" s="49"/>
      <c r="DW79" s="7"/>
      <c r="DX79" s="49"/>
      <c r="DY79" s="49"/>
      <c r="DZ79" s="49"/>
      <c r="EA79" s="7"/>
      <c r="EB79" s="7"/>
      <c r="EC79" s="2"/>
      <c r="ED79" s="2"/>
      <c r="EE79" s="2"/>
      <c r="EF79" s="7"/>
      <c r="EG79" s="2"/>
      <c r="EH79" s="2"/>
      <c r="EI79" s="2"/>
      <c r="EM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N79" s="2"/>
      <c r="FO79" s="2"/>
      <c r="FP79" s="2"/>
      <c r="FQ79" s="2"/>
      <c r="FR79" s="2"/>
      <c r="FS79" s="2"/>
      <c r="FT79" s="2"/>
    </row>
    <row r="80" spans="6:348" ht="17.25">
      <c r="F80" s="311" t="s">
        <v>796</v>
      </c>
      <c r="G80" s="311"/>
      <c r="H80" s="23" t="s">
        <v>427</v>
      </c>
      <c r="I80" s="11"/>
      <c r="J80" s="11"/>
      <c r="K80" s="2"/>
      <c r="L80" s="293"/>
      <c r="M80" s="2"/>
      <c r="AA80" s="310" t="s">
        <v>797</v>
      </c>
      <c r="AB80" s="310"/>
      <c r="AC80" s="29" t="s">
        <v>352</v>
      </c>
      <c r="AD80" s="28"/>
      <c r="AE80" s="310" t="s">
        <v>798</v>
      </c>
      <c r="AF80" s="310"/>
      <c r="AG80" s="29" t="s">
        <v>452</v>
      </c>
      <c r="AH80" s="7"/>
      <c r="AI80" s="2"/>
      <c r="AJ80" s="2"/>
      <c r="AK80" s="2"/>
      <c r="AL80" s="310" t="s">
        <v>799</v>
      </c>
      <c r="AM80" s="310"/>
      <c r="AN80" s="23" t="s">
        <v>381</v>
      </c>
      <c r="AO80" s="310" t="s">
        <v>800</v>
      </c>
      <c r="AP80" s="310"/>
      <c r="AQ80" s="28" t="s">
        <v>346</v>
      </c>
      <c r="AR80" s="7"/>
      <c r="AS80" s="310" t="s">
        <v>801</v>
      </c>
      <c r="AT80" s="310"/>
      <c r="AU80" s="29" t="s">
        <v>350</v>
      </c>
      <c r="AV80" s="314" t="s">
        <v>802</v>
      </c>
      <c r="AW80" s="314"/>
      <c r="AX80" s="31" t="s">
        <v>393</v>
      </c>
      <c r="AY80" s="2"/>
      <c r="AZ80" s="2"/>
      <c r="BA80" s="2"/>
      <c r="BB80" s="7"/>
      <c r="BC80" s="7"/>
      <c r="BD80" s="7"/>
      <c r="BF80" s="2"/>
      <c r="BG80" s="2"/>
      <c r="BH80" s="2"/>
      <c r="BI80" s="7"/>
      <c r="BM80" s="2"/>
      <c r="BN80" s="2"/>
      <c r="BO80" s="2"/>
      <c r="BP80" s="2"/>
      <c r="BQ80" s="7"/>
      <c r="BR80" s="7"/>
      <c r="BS80" s="7"/>
      <c r="BT80" s="7"/>
      <c r="BU80" s="7"/>
      <c r="BV80" s="143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Y80" s="46"/>
      <c r="CZ80" s="46"/>
      <c r="DA80" s="143"/>
      <c r="DB80" s="143"/>
      <c r="DC80" s="143"/>
      <c r="DD80" s="143"/>
      <c r="DE80" s="46"/>
      <c r="DF80" s="46"/>
      <c r="DG80" s="47"/>
      <c r="DH80" s="47"/>
      <c r="DI80" s="49"/>
      <c r="DJ80" s="7"/>
      <c r="DK80" s="7"/>
      <c r="DL80" s="2"/>
      <c r="DM80" s="2"/>
      <c r="DN80" s="2"/>
      <c r="DO80" s="7"/>
      <c r="DP80" s="2"/>
      <c r="DQ80" s="2"/>
      <c r="DR80" s="2"/>
      <c r="DS80" s="2"/>
      <c r="DT80" s="2"/>
      <c r="DU80" s="49"/>
      <c r="DV80" s="49"/>
      <c r="DW80" s="7"/>
      <c r="DX80" s="7"/>
      <c r="DY80" s="31"/>
      <c r="DZ80" s="31"/>
      <c r="EA80" s="7"/>
      <c r="EB80" s="7"/>
      <c r="EC80" s="2"/>
      <c r="ED80" s="2"/>
      <c r="EE80" s="2"/>
      <c r="EF80" s="28"/>
      <c r="EG80" s="7"/>
      <c r="EH80" s="130"/>
      <c r="EI80" s="7"/>
      <c r="EJ80" s="7"/>
      <c r="EK80" s="2"/>
      <c r="EL80" s="2"/>
      <c r="EM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N80" s="2"/>
      <c r="FO80" s="2"/>
      <c r="FP80" s="2"/>
      <c r="FT80" s="2"/>
    </row>
    <row r="81" spans="6:176" ht="18">
      <c r="F81" s="311" t="s">
        <v>803</v>
      </c>
      <c r="G81" s="311"/>
      <c r="H81" s="28" t="s">
        <v>344</v>
      </c>
      <c r="I81" s="11"/>
      <c r="J81" s="11"/>
      <c r="K81" s="6"/>
      <c r="L81" s="294"/>
      <c r="M81" s="2"/>
      <c r="AA81" s="310" t="s">
        <v>804</v>
      </c>
      <c r="AB81" s="310"/>
      <c r="AC81" s="29" t="s">
        <v>352</v>
      </c>
      <c r="AD81" s="7"/>
      <c r="AE81" s="310" t="s">
        <v>805</v>
      </c>
      <c r="AF81" s="310"/>
      <c r="AG81" s="29" t="s">
        <v>452</v>
      </c>
      <c r="AH81" s="7"/>
      <c r="AI81" s="38"/>
      <c r="AJ81" s="38"/>
      <c r="AK81" s="38"/>
      <c r="AL81" s="38"/>
      <c r="AM81" s="38"/>
      <c r="AN81" s="38"/>
      <c r="AO81" s="295"/>
      <c r="AP81" s="295"/>
      <c r="AQ81" s="295"/>
      <c r="AR81" s="7"/>
      <c r="AS81" s="310" t="s">
        <v>806</v>
      </c>
      <c r="AT81" s="310"/>
      <c r="AU81" s="29" t="s">
        <v>350</v>
      </c>
      <c r="AV81" s="310" t="s">
        <v>807</v>
      </c>
      <c r="AW81" s="310"/>
      <c r="AX81" s="23" t="s">
        <v>342</v>
      </c>
      <c r="AY81" s="38"/>
      <c r="AZ81" s="38"/>
      <c r="BA81" s="38"/>
      <c r="BB81" s="28"/>
      <c r="BC81" s="7"/>
      <c r="BD81" s="7"/>
      <c r="BF81" s="2"/>
      <c r="BG81" s="2"/>
      <c r="BH81" s="2"/>
      <c r="BI81" s="2"/>
      <c r="BM81" s="2"/>
      <c r="BN81" s="2"/>
      <c r="BO81" s="2"/>
      <c r="BP81" s="2"/>
      <c r="BQ81" s="2"/>
      <c r="BR81" s="2"/>
      <c r="BS81" s="2"/>
      <c r="BT81" s="2"/>
      <c r="BU81" s="2"/>
      <c r="BV81" s="7"/>
      <c r="BW81" s="7"/>
      <c r="BX81" s="7"/>
      <c r="BY81" s="47"/>
      <c r="BZ81" s="47"/>
      <c r="CA81" s="7"/>
      <c r="CB81" s="7"/>
      <c r="CC81" s="7"/>
      <c r="CD81" s="2"/>
      <c r="CE81" s="2"/>
      <c r="CF81" s="2"/>
      <c r="CG81" s="2"/>
      <c r="CH81" s="2"/>
      <c r="CI81" s="2"/>
      <c r="CJ81" s="2"/>
      <c r="CO81" s="2"/>
      <c r="CP81" s="2"/>
      <c r="CT81" s="2"/>
      <c r="CU81" s="2"/>
      <c r="CY81" s="7"/>
      <c r="CZ81" s="7"/>
      <c r="DA81" s="143"/>
      <c r="DB81" s="143"/>
      <c r="DC81" s="143"/>
      <c r="DD81" s="143"/>
      <c r="DE81" s="46"/>
      <c r="DF81" s="46"/>
      <c r="DG81" s="7"/>
      <c r="DH81" s="7"/>
      <c r="DI81" s="49"/>
      <c r="DJ81" s="7"/>
      <c r="DK81" s="2"/>
      <c r="DL81" s="2"/>
      <c r="DM81" s="2"/>
      <c r="DN81" s="2"/>
      <c r="DO81" s="7"/>
      <c r="DP81" s="2"/>
      <c r="DQ81" s="2"/>
      <c r="DR81" s="2"/>
      <c r="DS81" s="49"/>
      <c r="DT81" s="2"/>
      <c r="DU81" s="49"/>
      <c r="DV81" s="2"/>
      <c r="DW81" s="7"/>
      <c r="DX81" s="35"/>
      <c r="DY81" s="35"/>
      <c r="DZ81" s="35"/>
      <c r="EA81" s="7"/>
      <c r="EB81" s="7"/>
      <c r="EC81" s="7"/>
      <c r="ED81" s="2"/>
      <c r="EE81" s="2"/>
      <c r="EF81" s="2"/>
      <c r="EG81" s="2"/>
      <c r="EH81" s="2"/>
      <c r="EI81" s="2"/>
      <c r="EM81" s="2"/>
      <c r="EQ81" s="2"/>
      <c r="ER81" s="2"/>
      <c r="ES81" s="2"/>
      <c r="ET81" s="2"/>
      <c r="EU81" s="2"/>
      <c r="EV81" s="2"/>
      <c r="EW81" s="2"/>
      <c r="EX81" s="2"/>
      <c r="EY81" s="6"/>
      <c r="EZ81" s="2"/>
      <c r="FN81" s="2"/>
      <c r="FO81" s="2"/>
      <c r="FP81" s="2"/>
      <c r="FQ81" s="2"/>
      <c r="FR81" s="2"/>
      <c r="FS81" s="2"/>
      <c r="FT81" s="2"/>
    </row>
    <row r="82" spans="6:176" ht="17.25">
      <c r="F82" s="311" t="s">
        <v>808</v>
      </c>
      <c r="G82" s="311"/>
      <c r="H82" s="23" t="s">
        <v>350</v>
      </c>
      <c r="I82" s="10"/>
      <c r="J82" s="11"/>
      <c r="K82" s="6"/>
      <c r="L82" s="2"/>
      <c r="M82" s="2"/>
      <c r="AA82" s="310" t="s">
        <v>809</v>
      </c>
      <c r="AB82" s="310"/>
      <c r="AC82" s="29" t="s">
        <v>555</v>
      </c>
      <c r="AD82" s="7"/>
      <c r="AE82" s="312" t="s">
        <v>810</v>
      </c>
      <c r="AF82" s="312"/>
      <c r="AG82" s="29" t="s">
        <v>452</v>
      </c>
      <c r="AH82" s="28"/>
      <c r="AI82" s="38"/>
      <c r="AJ82" s="38"/>
      <c r="AK82" s="38"/>
      <c r="AL82" s="38"/>
      <c r="AM82" s="38"/>
      <c r="AN82" s="38"/>
      <c r="AO82" s="38"/>
      <c r="AP82" s="38"/>
      <c r="AQ82" s="38"/>
      <c r="AR82" s="7"/>
      <c r="AS82" s="310" t="s">
        <v>811</v>
      </c>
      <c r="AT82" s="310"/>
      <c r="AU82" s="29" t="s">
        <v>812</v>
      </c>
      <c r="AV82" s="310" t="s">
        <v>813</v>
      </c>
      <c r="AW82" s="310"/>
      <c r="AX82" s="28" t="s">
        <v>342</v>
      </c>
      <c r="AY82" s="38"/>
      <c r="AZ82" s="38"/>
      <c r="BA82" s="38"/>
      <c r="BB82" s="7"/>
      <c r="BC82" s="7"/>
      <c r="BD82" s="7"/>
      <c r="BF82" s="2"/>
      <c r="BG82" s="2"/>
      <c r="BH82" s="2"/>
      <c r="BI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7"/>
      <c r="CE82" s="130"/>
      <c r="CF82" s="130"/>
      <c r="CG82" s="130"/>
      <c r="CH82" s="130"/>
      <c r="CI82" s="2"/>
      <c r="CJ82" s="2"/>
      <c r="CK82" s="2"/>
      <c r="CL82" s="2"/>
      <c r="CM82" s="2"/>
      <c r="CN82" s="2"/>
      <c r="CO82" s="2"/>
      <c r="CP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M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N82" s="2"/>
      <c r="FO82" s="2"/>
      <c r="FP82" s="2"/>
      <c r="FQ82" s="2"/>
      <c r="FR82" s="2"/>
      <c r="FS82" s="2"/>
    </row>
    <row r="83" spans="6:176" ht="17.25">
      <c r="F83" s="308" t="s">
        <v>814</v>
      </c>
      <c r="G83" s="308"/>
      <c r="H83" s="97" t="s">
        <v>336</v>
      </c>
      <c r="I83" s="11"/>
      <c r="J83" s="11"/>
      <c r="K83" s="2"/>
      <c r="L83" s="2"/>
      <c r="M83" s="2"/>
      <c r="AA83" s="309"/>
      <c r="AB83" s="309"/>
      <c r="AC83" s="266"/>
      <c r="AD83" s="38"/>
      <c r="AH83" s="295"/>
      <c r="AI83" s="38"/>
      <c r="AJ83" s="38"/>
      <c r="AK83" s="38"/>
      <c r="AL83" s="38"/>
      <c r="AM83" s="38"/>
      <c r="AN83" s="38"/>
      <c r="AO83" s="38"/>
      <c r="AP83" s="38"/>
      <c r="AQ83" s="38"/>
      <c r="AR83" s="7"/>
      <c r="AS83" s="39"/>
      <c r="AT83" s="39"/>
      <c r="AU83" s="39"/>
      <c r="AV83" s="310" t="s">
        <v>815</v>
      </c>
      <c r="AW83" s="310"/>
      <c r="AX83" s="28" t="s">
        <v>342</v>
      </c>
      <c r="AY83" s="38"/>
      <c r="AZ83" s="38"/>
      <c r="BA83" s="38"/>
      <c r="BB83" s="2"/>
      <c r="BC83" s="2"/>
      <c r="BD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N83" s="2"/>
      <c r="FO83" s="2"/>
      <c r="FP83" s="2"/>
      <c r="FQ83" s="2"/>
      <c r="FR83" s="2"/>
      <c r="FS83" s="2"/>
      <c r="FT83" s="2"/>
    </row>
    <row r="84" spans="6:176" ht="17.25">
      <c r="F84" s="308" t="s">
        <v>814</v>
      </c>
      <c r="G84" s="308"/>
      <c r="H84" s="281" t="s">
        <v>277</v>
      </c>
      <c r="I84" s="35"/>
      <c r="J84" s="11"/>
      <c r="K84" s="2"/>
      <c r="L84" s="2"/>
      <c r="M84" s="2"/>
      <c r="AA84" s="309"/>
      <c r="AB84" s="309"/>
      <c r="AC84" s="266"/>
      <c r="AD84" s="38"/>
      <c r="AH84" s="38"/>
      <c r="AI84" s="38"/>
      <c r="AJ84" s="38"/>
      <c r="AK84" s="38"/>
      <c r="AL84" s="38"/>
      <c r="AM84" s="38"/>
      <c r="AN84" s="38"/>
      <c r="AO84" s="2"/>
      <c r="AP84" s="2"/>
      <c r="AQ84" s="2"/>
      <c r="AR84" s="38"/>
      <c r="AS84" s="39"/>
      <c r="AT84" s="39"/>
      <c r="AU84" s="39"/>
      <c r="AV84" s="2"/>
      <c r="AW84" s="2"/>
      <c r="AX84" s="2"/>
      <c r="AY84" s="38"/>
      <c r="AZ84" s="38"/>
      <c r="BA84" s="38"/>
      <c r="BB84" s="38"/>
      <c r="BC84" s="38"/>
      <c r="BD84" s="38"/>
      <c r="BF84" s="2"/>
      <c r="BG84" s="2"/>
      <c r="BH84" s="2"/>
      <c r="BI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</row>
    <row r="85" spans="6:176" ht="17.25">
      <c r="F85" s="308" t="s">
        <v>814</v>
      </c>
      <c r="G85" s="308"/>
      <c r="H85" s="281" t="s">
        <v>385</v>
      </c>
      <c r="I85" s="290"/>
      <c r="J85" s="11"/>
      <c r="K85" s="2"/>
      <c r="L85" s="2"/>
      <c r="M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</row>
    <row r="86" spans="6:176" ht="17.25">
      <c r="F86" s="308" t="s">
        <v>814</v>
      </c>
      <c r="G86" s="308"/>
      <c r="H86" s="274" t="s">
        <v>271</v>
      </c>
      <c r="I86" s="11"/>
      <c r="J86" s="11"/>
      <c r="K86" s="2"/>
      <c r="L86" s="2"/>
      <c r="M86" s="2"/>
    </row>
    <row r="87" spans="6:176" ht="17.25">
      <c r="F87" s="308" t="s">
        <v>814</v>
      </c>
      <c r="G87" s="308"/>
      <c r="H87" s="280" t="s">
        <v>338</v>
      </c>
      <c r="I87" s="11"/>
      <c r="J87" s="11"/>
      <c r="K87" s="2"/>
      <c r="L87" s="2"/>
      <c r="M87" s="2"/>
    </row>
    <row r="88" spans="6:176" ht="17.25">
      <c r="F88" s="308" t="s">
        <v>814</v>
      </c>
      <c r="G88" s="308"/>
      <c r="H88" s="280" t="s">
        <v>338</v>
      </c>
      <c r="I88" s="11"/>
      <c r="J88" s="11"/>
      <c r="K88" s="2"/>
      <c r="L88" s="2"/>
      <c r="M88" s="2"/>
    </row>
    <row r="89" spans="6:176" ht="17.25">
      <c r="F89" s="308" t="s">
        <v>814</v>
      </c>
      <c r="G89" s="308"/>
      <c r="H89" s="274" t="s">
        <v>452</v>
      </c>
      <c r="I89" s="28"/>
      <c r="J89" s="11"/>
      <c r="K89" s="68"/>
      <c r="L89" s="6"/>
      <c r="M89" s="6"/>
    </row>
    <row r="90" spans="6:176" ht="17.25">
      <c r="F90" s="308" t="s">
        <v>814</v>
      </c>
      <c r="G90" s="308"/>
      <c r="H90" s="97" t="s">
        <v>529</v>
      </c>
      <c r="I90" s="11"/>
      <c r="J90" s="11"/>
      <c r="K90" s="6"/>
      <c r="L90" s="6"/>
      <c r="M90" s="6"/>
    </row>
    <row r="91" spans="6:176" ht="17.25">
      <c r="F91" s="308" t="s">
        <v>814</v>
      </c>
      <c r="G91" s="308"/>
      <c r="H91" s="280" t="s">
        <v>352</v>
      </c>
      <c r="I91" s="6"/>
      <c r="J91" s="11"/>
      <c r="K91" s="6"/>
      <c r="L91" s="6"/>
      <c r="M91" s="6"/>
    </row>
    <row r="92" spans="6:176" ht="17.25">
      <c r="F92" s="308" t="s">
        <v>814</v>
      </c>
      <c r="G92" s="308"/>
      <c r="H92" s="274" t="s">
        <v>393</v>
      </c>
      <c r="I92" s="35"/>
      <c r="J92" s="35"/>
      <c r="K92" s="35"/>
      <c r="L92" s="35"/>
      <c r="M92" s="35"/>
    </row>
    <row r="93" spans="6:176" ht="17.25">
      <c r="F93" s="308" t="s">
        <v>814</v>
      </c>
      <c r="G93" s="308"/>
      <c r="H93" s="97" t="s">
        <v>273</v>
      </c>
      <c r="I93" s="2"/>
      <c r="J93" s="2"/>
      <c r="K93" s="2"/>
      <c r="L93" s="2"/>
      <c r="M93" s="2"/>
    </row>
    <row r="94" spans="6:176" ht="17.25">
      <c r="F94" s="308" t="s">
        <v>814</v>
      </c>
      <c r="G94" s="308"/>
      <c r="H94" s="280" t="s">
        <v>680</v>
      </c>
      <c r="I94" s="2"/>
      <c r="J94" s="2"/>
      <c r="K94" s="2"/>
      <c r="L94" s="2"/>
      <c r="M94" s="2"/>
    </row>
    <row r="95" spans="6:176" ht="17.25">
      <c r="F95" s="308" t="s">
        <v>814</v>
      </c>
      <c r="G95" s="308"/>
      <c r="H95" s="279" t="s">
        <v>401</v>
      </c>
      <c r="I95" s="2"/>
      <c r="J95" s="2"/>
      <c r="K95" s="2"/>
      <c r="L95" s="2"/>
      <c r="M95" s="2"/>
    </row>
    <row r="96" spans="6:176" ht="17.25">
      <c r="F96" s="308" t="s">
        <v>814</v>
      </c>
      <c r="G96" s="308"/>
      <c r="H96" s="97" t="s">
        <v>424</v>
      </c>
      <c r="I96" s="2"/>
      <c r="J96" s="2"/>
      <c r="K96" s="2"/>
      <c r="L96" s="2"/>
      <c r="M96" s="2"/>
    </row>
    <row r="97" spans="6:13" ht="17.25">
      <c r="F97" s="308" t="s">
        <v>814</v>
      </c>
      <c r="G97" s="308"/>
      <c r="H97" s="281" t="s">
        <v>376</v>
      </c>
      <c r="I97" s="2"/>
      <c r="J97" s="2"/>
      <c r="K97" s="2"/>
      <c r="L97" s="2"/>
      <c r="M97" s="2"/>
    </row>
    <row r="98" spans="6:13" ht="17.25">
      <c r="F98" s="308" t="s">
        <v>814</v>
      </c>
      <c r="G98" s="308"/>
      <c r="H98" s="97" t="s">
        <v>380</v>
      </c>
      <c r="I98" s="2"/>
      <c r="J98" s="2"/>
      <c r="K98" s="2"/>
      <c r="L98" s="2"/>
      <c r="M98" s="2"/>
    </row>
  </sheetData>
  <mergeCells count="857">
    <mergeCell ref="EA9:EB9"/>
    <mergeCell ref="DQ10:DR10"/>
    <mergeCell ref="EA10:EB10"/>
    <mergeCell ref="DM16:DN16"/>
    <mergeCell ref="DT16:DU16"/>
    <mergeCell ref="DH17:DI17"/>
    <mergeCell ref="DM17:DN17"/>
    <mergeCell ref="DT17:DU17"/>
    <mergeCell ref="DJ21:DK21"/>
    <mergeCell ref="DO21:DQ21"/>
    <mergeCell ref="DW3:DX3"/>
    <mergeCell ref="DW4:DX4"/>
    <mergeCell ref="DQ9:DR9"/>
    <mergeCell ref="DT24:DU24"/>
    <mergeCell ref="DG25:DH25"/>
    <mergeCell ref="DI25:DJ25"/>
    <mergeCell ref="DK25:DL25"/>
    <mergeCell ref="DM25:DN25"/>
    <mergeCell ref="DO25:DP25"/>
    <mergeCell ref="DQ25:DR25"/>
    <mergeCell ref="DT25:DU25"/>
    <mergeCell ref="DJ22:DK22"/>
    <mergeCell ref="DO22:DQ22"/>
    <mergeCell ref="DH23:DI23"/>
    <mergeCell ref="DL23:DM23"/>
    <mergeCell ref="DG24:DH24"/>
    <mergeCell ref="DI24:DJ24"/>
    <mergeCell ref="DK24:DL24"/>
    <mergeCell ref="DM24:DN24"/>
    <mergeCell ref="DO24:DP24"/>
    <mergeCell ref="DQ24:DR24"/>
    <mergeCell ref="DG26:DH26"/>
    <mergeCell ref="DI26:DJ26"/>
    <mergeCell ref="DO26:DP26"/>
    <mergeCell ref="DQ26:DR26"/>
    <mergeCell ref="DT26:DU26"/>
    <mergeCell ref="DG27:DH27"/>
    <mergeCell ref="DI27:DJ27"/>
    <mergeCell ref="DK27:DL27"/>
    <mergeCell ref="DO27:DP27"/>
    <mergeCell ref="DQ27:DR27"/>
    <mergeCell ref="DW36:DX36"/>
    <mergeCell ref="KZ36:LA36"/>
    <mergeCell ref="AL37:AM37"/>
    <mergeCell ref="DW37:DX37"/>
    <mergeCell ref="IT37:IU37"/>
    <mergeCell ref="KZ37:LA37"/>
    <mergeCell ref="DT27:DU27"/>
    <mergeCell ref="DG28:DH28"/>
    <mergeCell ref="DI28:DJ28"/>
    <mergeCell ref="DK28:DL28"/>
    <mergeCell ref="DM28:DN28"/>
    <mergeCell ref="DO28:DP28"/>
    <mergeCell ref="DQ28:DR28"/>
    <mergeCell ref="KK41:KL41"/>
    <mergeCell ref="LB41:LB42"/>
    <mergeCell ref="LQ41:LR41"/>
    <mergeCell ref="LO42:LP42"/>
    <mergeCell ref="GO43:GP43"/>
    <mergeCell ref="LO43:LP43"/>
    <mergeCell ref="LO37:LP37"/>
    <mergeCell ref="AL38:AM38"/>
    <mergeCell ref="IT38:IU38"/>
    <mergeCell ref="LO38:LP38"/>
    <mergeCell ref="KK40:KL40"/>
    <mergeCell ref="LQ40:LR40"/>
    <mergeCell ref="GO44:GP44"/>
    <mergeCell ref="AN45:AO46"/>
    <mergeCell ref="C47:D47"/>
    <mergeCell ref="K47:L47"/>
    <mergeCell ref="R47:S47"/>
    <mergeCell ref="U47:Y49"/>
    <mergeCell ref="AN47:AO48"/>
    <mergeCell ref="CZ47:DA47"/>
    <mergeCell ref="FE47:FF47"/>
    <mergeCell ref="GD47:GE47"/>
    <mergeCell ref="MG47:MH47"/>
    <mergeCell ref="ML47:MM47"/>
    <mergeCell ref="MO47:MP47"/>
    <mergeCell ref="MR47:MS48"/>
    <mergeCell ref="C48:D48"/>
    <mergeCell ref="K48:L48"/>
    <mergeCell ref="R48:S48"/>
    <mergeCell ref="CZ48:DA48"/>
    <mergeCell ref="FE48:FF48"/>
    <mergeCell ref="GD48:GE48"/>
    <mergeCell ref="IT47:IU47"/>
    <mergeCell ref="KK47:KL47"/>
    <mergeCell ref="KV47:KW47"/>
    <mergeCell ref="LD47:LE47"/>
    <mergeCell ref="LK47:LL47"/>
    <mergeCell ref="LZ47:MA47"/>
    <mergeCell ref="LZ48:MA48"/>
    <mergeCell ref="MG48:MH48"/>
    <mergeCell ref="ML48:MM48"/>
    <mergeCell ref="MO48:MP48"/>
    <mergeCell ref="GO49:GP49"/>
    <mergeCell ref="U51:V51"/>
    <mergeCell ref="IQ51:IS52"/>
    <mergeCell ref="IV51:IX52"/>
    <mergeCell ref="U52:V52"/>
    <mergeCell ref="AC52:AD52"/>
    <mergeCell ref="GO48:GP48"/>
    <mergeCell ref="IT48:IU48"/>
    <mergeCell ref="KK48:KL48"/>
    <mergeCell ref="KV48:KW48"/>
    <mergeCell ref="LD48:LE48"/>
    <mergeCell ref="LK48:LL48"/>
    <mergeCell ref="AC53:AD53"/>
    <mergeCell ref="AL53:AM53"/>
    <mergeCell ref="AW53:AX53"/>
    <mergeCell ref="BM53:BN53"/>
    <mergeCell ref="CG53:CH53"/>
    <mergeCell ref="CZ53:DA53"/>
    <mergeCell ref="AL52:AM52"/>
    <mergeCell ref="AW52:AX52"/>
    <mergeCell ref="BM52:BN52"/>
    <mergeCell ref="CG52:CH52"/>
    <mergeCell ref="CZ52:DA52"/>
    <mergeCell ref="MR56:MS56"/>
    <mergeCell ref="DP53:DQ53"/>
    <mergeCell ref="EL53:EM53"/>
    <mergeCell ref="FA53:FB53"/>
    <mergeCell ref="FL53:FM53"/>
    <mergeCell ref="GD53:GE53"/>
    <mergeCell ref="AF54:AI55"/>
    <mergeCell ref="EL52:EM52"/>
    <mergeCell ref="FA52:FB52"/>
    <mergeCell ref="FL52:FM52"/>
    <mergeCell ref="GD52:GE52"/>
    <mergeCell ref="DP52:DQ52"/>
    <mergeCell ref="K57:L57"/>
    <mergeCell ref="O57:P57"/>
    <mergeCell ref="R57:S57"/>
    <mergeCell ref="U57:V57"/>
    <mergeCell ref="AA57:AB57"/>
    <mergeCell ref="AE57:AF57"/>
    <mergeCell ref="B55:C55"/>
    <mergeCell ref="D55:E55"/>
    <mergeCell ref="F55:F56"/>
    <mergeCell ref="H55:I55"/>
    <mergeCell ref="H56:I56"/>
    <mergeCell ref="BB57:BC57"/>
    <mergeCell ref="BF57:BG57"/>
    <mergeCell ref="BJ57:BK57"/>
    <mergeCell ref="BN57:BO57"/>
    <mergeCell ref="BR57:BS57"/>
    <mergeCell ref="BV57:BW57"/>
    <mergeCell ref="AI57:AJ57"/>
    <mergeCell ref="AL57:AM57"/>
    <mergeCell ref="AO57:AP57"/>
    <mergeCell ref="AS57:AT57"/>
    <mergeCell ref="AV57:AW57"/>
    <mergeCell ref="AY57:AZ57"/>
    <mergeCell ref="CV57:CW57"/>
    <mergeCell ref="CZ57:DA57"/>
    <mergeCell ref="DD57:DE57"/>
    <mergeCell ref="DH57:DI57"/>
    <mergeCell ref="DL57:DM57"/>
    <mergeCell ref="DP57:DQ57"/>
    <mergeCell ref="BZ57:CA57"/>
    <mergeCell ref="CD57:CE57"/>
    <mergeCell ref="CH57:CI57"/>
    <mergeCell ref="CK57:CL57"/>
    <mergeCell ref="CO57:CP57"/>
    <mergeCell ref="CR57:CS57"/>
    <mergeCell ref="ER57:ES57"/>
    <mergeCell ref="EV57:EW57"/>
    <mergeCell ref="FA57:FB57"/>
    <mergeCell ref="FE57:FF57"/>
    <mergeCell ref="FH57:FI57"/>
    <mergeCell ref="FK57:FL57"/>
    <mergeCell ref="DT57:DU57"/>
    <mergeCell ref="DX57:DY57"/>
    <mergeCell ref="EB57:EC57"/>
    <mergeCell ref="EF57:EG57"/>
    <mergeCell ref="EJ57:EK57"/>
    <mergeCell ref="EN57:EO57"/>
    <mergeCell ref="HN57:HO57"/>
    <mergeCell ref="HW57:HX57"/>
    <mergeCell ref="IH57:II57"/>
    <mergeCell ref="IZ57:JA57"/>
    <mergeCell ref="JN57:JO57"/>
    <mergeCell ref="JZ57:KA57"/>
    <mergeCell ref="FN57:FO57"/>
    <mergeCell ref="FQ57:FR57"/>
    <mergeCell ref="FT57:FU57"/>
    <mergeCell ref="GL57:GM57"/>
    <mergeCell ref="GQ57:GR57"/>
    <mergeCell ref="HC57:HD57"/>
    <mergeCell ref="ML58:MM58"/>
    <mergeCell ref="KY57:KZ57"/>
    <mergeCell ref="LB57:LC57"/>
    <mergeCell ref="LF57:LG57"/>
    <mergeCell ref="LI57:LJ57"/>
    <mergeCell ref="LM57:LN57"/>
    <mergeCell ref="LQ57:LR57"/>
    <mergeCell ref="KD57:KE57"/>
    <mergeCell ref="KH57:KI57"/>
    <mergeCell ref="KK57:KL57"/>
    <mergeCell ref="KN57:KO57"/>
    <mergeCell ref="KS57:KT57"/>
    <mergeCell ref="KV57:KW57"/>
    <mergeCell ref="AO58:AP58"/>
    <mergeCell ref="AS58:AT58"/>
    <mergeCell ref="AV58:AW58"/>
    <mergeCell ref="AY58:AZ58"/>
    <mergeCell ref="BB58:BC58"/>
    <mergeCell ref="BF58:BG58"/>
    <mergeCell ref="MR57:MS57"/>
    <mergeCell ref="K58:L58"/>
    <mergeCell ref="O58:P58"/>
    <mergeCell ref="R58:S58"/>
    <mergeCell ref="U58:V58"/>
    <mergeCell ref="W58:Y58"/>
    <mergeCell ref="AA58:AB58"/>
    <mergeCell ref="AE58:AF58"/>
    <mergeCell ref="AI58:AJ58"/>
    <mergeCell ref="AL58:AM58"/>
    <mergeCell ref="LU57:LV57"/>
    <mergeCell ref="LX57:LY58"/>
    <mergeCell ref="MB57:MC57"/>
    <mergeCell ref="ME57:MF57"/>
    <mergeCell ref="MI57:MJ57"/>
    <mergeCell ref="ML57:MM57"/>
    <mergeCell ref="ME58:MF58"/>
    <mergeCell ref="MI58:MJ58"/>
    <mergeCell ref="CH58:CI58"/>
    <mergeCell ref="CK58:CL58"/>
    <mergeCell ref="CO58:CP58"/>
    <mergeCell ref="CR58:CS58"/>
    <mergeCell ref="CV58:CW58"/>
    <mergeCell ref="CZ58:DA58"/>
    <mergeCell ref="BJ58:BK58"/>
    <mergeCell ref="BN58:BO58"/>
    <mergeCell ref="BR58:BS58"/>
    <mergeCell ref="BV58:BW58"/>
    <mergeCell ref="BZ58:CA58"/>
    <mergeCell ref="CD58:CE58"/>
    <mergeCell ref="EB58:EC58"/>
    <mergeCell ref="EF58:EG58"/>
    <mergeCell ref="EJ58:EK58"/>
    <mergeCell ref="EN58:EO58"/>
    <mergeCell ref="ER58:ES58"/>
    <mergeCell ref="EV58:EW58"/>
    <mergeCell ref="DD58:DE58"/>
    <mergeCell ref="DH58:DI58"/>
    <mergeCell ref="DL58:DM58"/>
    <mergeCell ref="DP58:DQ58"/>
    <mergeCell ref="DT58:DU58"/>
    <mergeCell ref="DX58:DY58"/>
    <mergeCell ref="FT58:FU58"/>
    <mergeCell ref="GL58:GM58"/>
    <mergeCell ref="GQ58:GR58"/>
    <mergeCell ref="HC58:HD58"/>
    <mergeCell ref="HN58:HO58"/>
    <mergeCell ref="HW58:HX58"/>
    <mergeCell ref="FA58:FB58"/>
    <mergeCell ref="FE58:FF58"/>
    <mergeCell ref="FH58:FI58"/>
    <mergeCell ref="FK58:FL58"/>
    <mergeCell ref="FN58:FO58"/>
    <mergeCell ref="FQ58:FR58"/>
    <mergeCell ref="FX60:FY60"/>
    <mergeCell ref="GA60:GB60"/>
    <mergeCell ref="GD60:GE60"/>
    <mergeCell ref="GG60:GH60"/>
    <mergeCell ref="GI60:GJ60"/>
    <mergeCell ref="MO60:MP60"/>
    <mergeCell ref="LF58:LG58"/>
    <mergeCell ref="LI58:LJ58"/>
    <mergeCell ref="LM58:LN58"/>
    <mergeCell ref="LQ58:LR58"/>
    <mergeCell ref="LU58:LV58"/>
    <mergeCell ref="MB58:MC58"/>
    <mergeCell ref="KK58:KL58"/>
    <mergeCell ref="KN58:KO58"/>
    <mergeCell ref="KS58:KT58"/>
    <mergeCell ref="KV58:KW58"/>
    <mergeCell ref="KY58:KZ58"/>
    <mergeCell ref="LB58:LC58"/>
    <mergeCell ref="IH58:II58"/>
    <mergeCell ref="IZ58:JA58"/>
    <mergeCell ref="JN58:JO58"/>
    <mergeCell ref="JZ58:KA58"/>
    <mergeCell ref="KD58:KE58"/>
    <mergeCell ref="KH58:KI58"/>
    <mergeCell ref="HG62:HH62"/>
    <mergeCell ref="HK62:HL62"/>
    <mergeCell ref="HN62:HO62"/>
    <mergeCell ref="HP62:HQ62"/>
    <mergeCell ref="HR62:HS62"/>
    <mergeCell ref="HU62:HV62"/>
    <mergeCell ref="DT61:DU61"/>
    <mergeCell ref="FA61:FB61"/>
    <mergeCell ref="FA62:FB62"/>
    <mergeCell ref="GX62:GY62"/>
    <mergeCell ref="HA62:HB62"/>
    <mergeCell ref="HD62:HE62"/>
    <mergeCell ref="IK62:IL62"/>
    <mergeCell ref="IN62:IO62"/>
    <mergeCell ref="IS62:IT62"/>
    <mergeCell ref="IW62:IX62"/>
    <mergeCell ref="IZ62:JA62"/>
    <mergeCell ref="JC62:JD62"/>
    <mergeCell ref="HW62:HX62"/>
    <mergeCell ref="HY62:HZ62"/>
    <mergeCell ref="IB62:IC62"/>
    <mergeCell ref="ID62:IE62"/>
    <mergeCell ref="IF62:IG62"/>
    <mergeCell ref="IH62:II62"/>
    <mergeCell ref="KG62:KH62"/>
    <mergeCell ref="KI62:KJ62"/>
    <mergeCell ref="KK62:KL62"/>
    <mergeCell ref="KM62:KN62"/>
    <mergeCell ref="KO62:KP62"/>
    <mergeCell ref="ME62:MF62"/>
    <mergeCell ref="JE62:JF62"/>
    <mergeCell ref="JG62:JH62"/>
    <mergeCell ref="JJ62:JK62"/>
    <mergeCell ref="JM62:JN62"/>
    <mergeCell ref="JX62:JY62"/>
    <mergeCell ref="KA62:KB62"/>
    <mergeCell ref="LP63:LQ63"/>
    <mergeCell ref="LR63:LS63"/>
    <mergeCell ref="LU63:LV63"/>
    <mergeCell ref="F64:G65"/>
    <mergeCell ref="AA64:AC65"/>
    <mergeCell ref="AE64:AF65"/>
    <mergeCell ref="AI64:AJ65"/>
    <mergeCell ref="AL64:AM65"/>
    <mergeCell ref="AO64:AP65"/>
    <mergeCell ref="AS64:AT65"/>
    <mergeCell ref="EH63:EI63"/>
    <mergeCell ref="GP63:GQ64"/>
    <mergeCell ref="GR63:GS64"/>
    <mergeCell ref="LI63:LJ63"/>
    <mergeCell ref="LL63:LM63"/>
    <mergeCell ref="LN63:LO63"/>
    <mergeCell ref="KM64:KN64"/>
    <mergeCell ref="LN64:LO64"/>
    <mergeCell ref="DL64:DM64"/>
    <mergeCell ref="DT64:DU64"/>
    <mergeCell ref="EB64:EC64"/>
    <mergeCell ref="EJ64:EK64"/>
    <mergeCell ref="FA64:FB64"/>
    <mergeCell ref="FQ64:FR64"/>
    <mergeCell ref="BR64:BS64"/>
    <mergeCell ref="BV64:BW64"/>
    <mergeCell ref="CD64:CE64"/>
    <mergeCell ref="CR64:CS64"/>
    <mergeCell ref="CZ64:DA64"/>
    <mergeCell ref="DD64:DE64"/>
    <mergeCell ref="KR65:KS65"/>
    <mergeCell ref="KT65:KU65"/>
    <mergeCell ref="LF65:LG65"/>
    <mergeCell ref="LU65:LV65"/>
    <mergeCell ref="LX65:LY65"/>
    <mergeCell ref="MI65:MJ65"/>
    <mergeCell ref="K65:L65"/>
    <mergeCell ref="BF65:BG65"/>
    <mergeCell ref="BN65:BO65"/>
    <mergeCell ref="CD65:CE65"/>
    <mergeCell ref="KI65:KJ65"/>
    <mergeCell ref="KO65:KP65"/>
    <mergeCell ref="AV64:AX65"/>
    <mergeCell ref="AY64:BA65"/>
    <mergeCell ref="BB64:BC65"/>
    <mergeCell ref="BF64:BG64"/>
    <mergeCell ref="BJ64:BK64"/>
    <mergeCell ref="BN64:BO64"/>
    <mergeCell ref="GY66:GZ66"/>
    <mergeCell ref="HA66:HB66"/>
    <mergeCell ref="HC66:HD66"/>
    <mergeCell ref="HE66:HF66"/>
    <mergeCell ref="HG66:HH66"/>
    <mergeCell ref="HJ66:HK66"/>
    <mergeCell ref="K66:L66"/>
    <mergeCell ref="GL68:GM68"/>
    <mergeCell ref="GP68:GQ68"/>
    <mergeCell ref="GR68:GS68"/>
    <mergeCell ref="GU66:GV66"/>
    <mergeCell ref="GW66:GX66"/>
    <mergeCell ref="IU66:IV66"/>
    <mergeCell ref="IW66:IX66"/>
    <mergeCell ref="HY66:HZ66"/>
    <mergeCell ref="IB66:IC66"/>
    <mergeCell ref="ID66:IE66"/>
    <mergeCell ref="IF66:IG66"/>
    <mergeCell ref="IH66:II66"/>
    <mergeCell ref="IJ66:IK66"/>
    <mergeCell ref="HL66:HM66"/>
    <mergeCell ref="HN66:HO66"/>
    <mergeCell ref="HP66:HQ66"/>
    <mergeCell ref="HR66:HS66"/>
    <mergeCell ref="HU66:HV66"/>
    <mergeCell ref="HW66:HX66"/>
    <mergeCell ref="CH67:CI67"/>
    <mergeCell ref="CK67:CL67"/>
    <mergeCell ref="CO67:CP67"/>
    <mergeCell ref="CR67:CS67"/>
    <mergeCell ref="JM66:JN66"/>
    <mergeCell ref="JQ66:JR66"/>
    <mergeCell ref="JT66:JU66"/>
    <mergeCell ref="LX66:LY66"/>
    <mergeCell ref="K67:L67"/>
    <mergeCell ref="AS67:AT67"/>
    <mergeCell ref="BF67:BG67"/>
    <mergeCell ref="BJ67:BK67"/>
    <mergeCell ref="BR67:BS67"/>
    <mergeCell ref="BV67:BW67"/>
    <mergeCell ref="IY66:IZ66"/>
    <mergeCell ref="JA66:JB66"/>
    <mergeCell ref="JC66:JD66"/>
    <mergeCell ref="JE66:JF66"/>
    <mergeCell ref="JG66:JH66"/>
    <mergeCell ref="JJ66:JK66"/>
    <mergeCell ref="IL66:IM66"/>
    <mergeCell ref="IN66:IO66"/>
    <mergeCell ref="IQ66:IR66"/>
    <mergeCell ref="IS66:IT66"/>
    <mergeCell ref="FT67:FU67"/>
    <mergeCell ref="GL69:GM69"/>
    <mergeCell ref="GV67:GW67"/>
    <mergeCell ref="JN67:JO67"/>
    <mergeCell ref="I68:J68"/>
    <mergeCell ref="O68:P68"/>
    <mergeCell ref="R68:S68"/>
    <mergeCell ref="U68:V68"/>
    <mergeCell ref="AL68:AM68"/>
    <mergeCell ref="DX67:DY67"/>
    <mergeCell ref="EJ67:EK67"/>
    <mergeCell ref="ER67:ES67"/>
    <mergeCell ref="FE67:FF67"/>
    <mergeCell ref="FK67:FL67"/>
    <mergeCell ref="FN67:FO67"/>
    <mergeCell ref="CV67:CW67"/>
    <mergeCell ref="CZ67:DA67"/>
    <mergeCell ref="DH67:DI67"/>
    <mergeCell ref="DL67:DM67"/>
    <mergeCell ref="DP67:DQ67"/>
    <mergeCell ref="DT67:DU67"/>
    <mergeCell ref="BZ67:CA67"/>
    <mergeCell ref="CD67:CE67"/>
    <mergeCell ref="DH68:DI68"/>
    <mergeCell ref="DL68:DM68"/>
    <mergeCell ref="DP68:DQ68"/>
    <mergeCell ref="DT68:DU68"/>
    <mergeCell ref="FK68:FL68"/>
    <mergeCell ref="GL70:GM70"/>
    <mergeCell ref="AO68:AP68"/>
    <mergeCell ref="BF68:BG68"/>
    <mergeCell ref="BV68:BW68"/>
    <mergeCell ref="CH68:CI68"/>
    <mergeCell ref="CK68:CL68"/>
    <mergeCell ref="CR68:CS68"/>
    <mergeCell ref="HJ68:HK68"/>
    <mergeCell ref="HL68:HM68"/>
    <mergeCell ref="HN68:HO68"/>
    <mergeCell ref="HR68:HS68"/>
    <mergeCell ref="HW68:HX68"/>
    <mergeCell ref="HY68:HZ68"/>
    <mergeCell ref="GU68:GV68"/>
    <mergeCell ref="GY68:GZ68"/>
    <mergeCell ref="HA68:HB68"/>
    <mergeCell ref="HC68:HD68"/>
    <mergeCell ref="HE68:HF68"/>
    <mergeCell ref="HG68:HH68"/>
    <mergeCell ref="IU68:IV68"/>
    <mergeCell ref="IW68:IX68"/>
    <mergeCell ref="IY68:IZ68"/>
    <mergeCell ref="JA68:JB68"/>
    <mergeCell ref="IB68:IC68"/>
    <mergeCell ref="ID68:IE68"/>
    <mergeCell ref="IH68:II68"/>
    <mergeCell ref="IJ68:IK68"/>
    <mergeCell ref="IL68:IM68"/>
    <mergeCell ref="IN68:IO68"/>
    <mergeCell ref="LP68:LQ68"/>
    <mergeCell ref="LX68:LY68"/>
    <mergeCell ref="MI68:MJ68"/>
    <mergeCell ref="F69:G69"/>
    <mergeCell ref="I69:J69"/>
    <mergeCell ref="R69:S69"/>
    <mergeCell ref="BV69:BW69"/>
    <mergeCell ref="CK69:CL69"/>
    <mergeCell ref="GU69:GV69"/>
    <mergeCell ref="HJ69:HK69"/>
    <mergeCell ref="KG68:KH68"/>
    <mergeCell ref="KK68:KL68"/>
    <mergeCell ref="KO68:KP68"/>
    <mergeCell ref="LB68:LC68"/>
    <mergeCell ref="LF68:LG68"/>
    <mergeCell ref="LI68:LJ68"/>
    <mergeCell ref="JC68:JD68"/>
    <mergeCell ref="JE68:JF68"/>
    <mergeCell ref="JG68:JH68"/>
    <mergeCell ref="JX68:JY68"/>
    <mergeCell ref="KA68:KB68"/>
    <mergeCell ref="KD68:KE68"/>
    <mergeCell ref="IQ68:IR68"/>
    <mergeCell ref="IS68:IT68"/>
    <mergeCell ref="IN69:IO69"/>
    <mergeCell ref="JC69:JD69"/>
    <mergeCell ref="JE69:JF69"/>
    <mergeCell ref="JX69:JY69"/>
    <mergeCell ref="KK69:KL69"/>
    <mergeCell ref="F70:G70"/>
    <mergeCell ref="AA70:AB70"/>
    <mergeCell ref="AE70:AF70"/>
    <mergeCell ref="AI70:AJ70"/>
    <mergeCell ref="AL70:AM70"/>
    <mergeCell ref="HR69:HS69"/>
    <mergeCell ref="HY69:HZ69"/>
    <mergeCell ref="IB69:IC69"/>
    <mergeCell ref="ID69:IE69"/>
    <mergeCell ref="IH69:II69"/>
    <mergeCell ref="IL69:IM69"/>
    <mergeCell ref="KK70:KL70"/>
    <mergeCell ref="F71:G71"/>
    <mergeCell ref="AA71:AB71"/>
    <mergeCell ref="AE71:AF71"/>
    <mergeCell ref="AI71:AJ71"/>
    <mergeCell ref="AL71:AM71"/>
    <mergeCell ref="AS71:AT71"/>
    <mergeCell ref="AV71:AW71"/>
    <mergeCell ref="AY71:AZ71"/>
    <mergeCell ref="IU71:IV71"/>
    <mergeCell ref="AO70:AP70"/>
    <mergeCell ref="AS70:AT70"/>
    <mergeCell ref="AV70:AW70"/>
    <mergeCell ref="AY70:AZ70"/>
    <mergeCell ref="BB70:BC70"/>
    <mergeCell ref="JC70:JD70"/>
    <mergeCell ref="JC71:JD71"/>
    <mergeCell ref="I72:M75"/>
    <mergeCell ref="AA72:AB72"/>
    <mergeCell ref="AE72:AF72"/>
    <mergeCell ref="AI72:AJ72"/>
    <mergeCell ref="AL72:AM72"/>
    <mergeCell ref="BF72:BG72"/>
    <mergeCell ref="BJ72:BK72"/>
    <mergeCell ref="BN72:BO72"/>
    <mergeCell ref="BR72:BS72"/>
    <mergeCell ref="CR72:CS72"/>
    <mergeCell ref="CV72:CW72"/>
    <mergeCell ref="CZ72:DA72"/>
    <mergeCell ref="DD72:DE72"/>
    <mergeCell ref="DH72:DI72"/>
    <mergeCell ref="DL72:DM72"/>
    <mergeCell ref="BV72:BW72"/>
    <mergeCell ref="BZ72:CA72"/>
    <mergeCell ref="CD72:CE72"/>
    <mergeCell ref="CH72:CI72"/>
    <mergeCell ref="CK72:CL72"/>
    <mergeCell ref="CO72:CP72"/>
    <mergeCell ref="EN72:EO72"/>
    <mergeCell ref="ER72:ES72"/>
    <mergeCell ref="EV72:EW72"/>
    <mergeCell ref="FA72:FB72"/>
    <mergeCell ref="FE72:FF72"/>
    <mergeCell ref="FH72:FI72"/>
    <mergeCell ref="DP72:DQ72"/>
    <mergeCell ref="DT72:DU72"/>
    <mergeCell ref="DX72:DY72"/>
    <mergeCell ref="EB72:EC72"/>
    <mergeCell ref="EF72:EG72"/>
    <mergeCell ref="EJ72:EK72"/>
    <mergeCell ref="GR72:GS72"/>
    <mergeCell ref="GU72:GV72"/>
    <mergeCell ref="GW72:GX72"/>
    <mergeCell ref="GY72:GZ72"/>
    <mergeCell ref="HA72:HB72"/>
    <mergeCell ref="HC72:HD72"/>
    <mergeCell ref="FK72:FL72"/>
    <mergeCell ref="FN72:FO72"/>
    <mergeCell ref="FQ72:FR72"/>
    <mergeCell ref="FT72:FU72"/>
    <mergeCell ref="GL72:GM72"/>
    <mergeCell ref="GP72:GQ72"/>
    <mergeCell ref="HR72:HS72"/>
    <mergeCell ref="HU72:HV72"/>
    <mergeCell ref="HW72:HX72"/>
    <mergeCell ref="HY72:HZ72"/>
    <mergeCell ref="IB72:IC72"/>
    <mergeCell ref="ID72:IE72"/>
    <mergeCell ref="HE72:HF72"/>
    <mergeCell ref="HG72:HH72"/>
    <mergeCell ref="HJ72:HK72"/>
    <mergeCell ref="HL72:HM72"/>
    <mergeCell ref="HN72:HO72"/>
    <mergeCell ref="HP72:HQ72"/>
    <mergeCell ref="IS72:IT72"/>
    <mergeCell ref="IY72:IZ72"/>
    <mergeCell ref="JA72:JB72"/>
    <mergeCell ref="JC72:JD72"/>
    <mergeCell ref="JE72:JF72"/>
    <mergeCell ref="JG72:JH72"/>
    <mergeCell ref="IF72:IG72"/>
    <mergeCell ref="IH72:II72"/>
    <mergeCell ref="IJ72:IK72"/>
    <mergeCell ref="IL72:IM72"/>
    <mergeCell ref="IN72:IO72"/>
    <mergeCell ref="IQ72:IR72"/>
    <mergeCell ref="KV72:KW72"/>
    <mergeCell ref="KY72:KZ72"/>
    <mergeCell ref="LB72:LC72"/>
    <mergeCell ref="LF72:LG72"/>
    <mergeCell ref="JX72:JY72"/>
    <mergeCell ref="KA72:KB72"/>
    <mergeCell ref="KD72:KE72"/>
    <mergeCell ref="KG72:KH72"/>
    <mergeCell ref="KI72:KJ72"/>
    <mergeCell ref="KM72:KN72"/>
    <mergeCell ref="CH73:CI73"/>
    <mergeCell ref="CK73:CL73"/>
    <mergeCell ref="CO73:CP73"/>
    <mergeCell ref="CR73:CS73"/>
    <mergeCell ref="CV73:CW73"/>
    <mergeCell ref="CZ73:DA73"/>
    <mergeCell ref="ME72:MF72"/>
    <mergeCell ref="F73:G73"/>
    <mergeCell ref="AA73:AB73"/>
    <mergeCell ref="AI73:AJ73"/>
    <mergeCell ref="BF73:BG73"/>
    <mergeCell ref="BJ73:BK73"/>
    <mergeCell ref="BN73:BO73"/>
    <mergeCell ref="BR73:BS73"/>
    <mergeCell ref="BV73:BW73"/>
    <mergeCell ref="BZ73:CA73"/>
    <mergeCell ref="LI72:LJ72"/>
    <mergeCell ref="LL72:LM72"/>
    <mergeCell ref="LR72:LS72"/>
    <mergeCell ref="LU72:LV72"/>
    <mergeCell ref="LX72:LY72"/>
    <mergeCell ref="MB72:MC72"/>
    <mergeCell ref="KO72:KP72"/>
    <mergeCell ref="KR72:KS72"/>
    <mergeCell ref="DX73:DY73"/>
    <mergeCell ref="EB73:EC73"/>
    <mergeCell ref="EF73:EG73"/>
    <mergeCell ref="EJ73:EK73"/>
    <mergeCell ref="EN73:EO73"/>
    <mergeCell ref="ER73:ES73"/>
    <mergeCell ref="DD73:DE73"/>
    <mergeCell ref="DH73:DI73"/>
    <mergeCell ref="DJ73:DK73"/>
    <mergeCell ref="DL73:DM73"/>
    <mergeCell ref="DP73:DQ73"/>
    <mergeCell ref="DT73:DU73"/>
    <mergeCell ref="FQ73:FR73"/>
    <mergeCell ref="FT73:FU73"/>
    <mergeCell ref="GU73:GV73"/>
    <mergeCell ref="GW73:GX73"/>
    <mergeCell ref="GY73:GZ73"/>
    <mergeCell ref="HA73:HB73"/>
    <mergeCell ref="EV73:EW73"/>
    <mergeCell ref="FA73:FB73"/>
    <mergeCell ref="FE73:FF73"/>
    <mergeCell ref="FH73:FI73"/>
    <mergeCell ref="FK73:FL73"/>
    <mergeCell ref="FN73:FO73"/>
    <mergeCell ref="HY73:HZ73"/>
    <mergeCell ref="IB73:IC73"/>
    <mergeCell ref="ID73:IE73"/>
    <mergeCell ref="IF73:IG73"/>
    <mergeCell ref="HC73:HD73"/>
    <mergeCell ref="HE73:HF73"/>
    <mergeCell ref="HG73:HH73"/>
    <mergeCell ref="HL73:HM73"/>
    <mergeCell ref="HN73:HO73"/>
    <mergeCell ref="HP73:HQ73"/>
    <mergeCell ref="LB73:LC73"/>
    <mergeCell ref="LU73:LV73"/>
    <mergeCell ref="MB73:MC73"/>
    <mergeCell ref="ME73:MF73"/>
    <mergeCell ref="F74:G74"/>
    <mergeCell ref="BF74:BG74"/>
    <mergeCell ref="BJ74:BK74"/>
    <mergeCell ref="BN74:BO74"/>
    <mergeCell ref="BR74:BS74"/>
    <mergeCell ref="BV74:BW74"/>
    <mergeCell ref="JJ73:JK73"/>
    <mergeCell ref="JX73:JY73"/>
    <mergeCell ref="KA73:KB73"/>
    <mergeCell ref="KM73:KN73"/>
    <mergeCell ref="KO73:KP73"/>
    <mergeCell ref="KY73:KZ73"/>
    <mergeCell ref="IH73:II73"/>
    <mergeCell ref="IJ73:IK73"/>
    <mergeCell ref="IN73:IO73"/>
    <mergeCell ref="IY73:IZ73"/>
    <mergeCell ref="JC73:JD73"/>
    <mergeCell ref="JE73:JF73"/>
    <mergeCell ref="HR73:HS73"/>
    <mergeCell ref="HU73:HV73"/>
    <mergeCell ref="DT74:DU74"/>
    <mergeCell ref="DX74:DY74"/>
    <mergeCell ref="EB74:EC74"/>
    <mergeCell ref="BZ74:CA74"/>
    <mergeCell ref="CK74:CL74"/>
    <mergeCell ref="CO74:CP74"/>
    <mergeCell ref="CR74:CS74"/>
    <mergeCell ref="CV74:CW74"/>
    <mergeCell ref="CZ74:DA74"/>
    <mergeCell ref="IN74:IO74"/>
    <mergeCell ref="JC74:JD74"/>
    <mergeCell ref="JE74:JF74"/>
    <mergeCell ref="JX74:JY74"/>
    <mergeCell ref="KO74:KP74"/>
    <mergeCell ref="HA74:HB74"/>
    <mergeCell ref="HC74:HD74"/>
    <mergeCell ref="HP74:HQ74"/>
    <mergeCell ref="HR74:HS74"/>
    <mergeCell ref="HU74:HV74"/>
    <mergeCell ref="IF74:IG74"/>
    <mergeCell ref="DP75:DQ75"/>
    <mergeCell ref="EB75:EC75"/>
    <mergeCell ref="F75:G75"/>
    <mergeCell ref="BF75:BG75"/>
    <mergeCell ref="BJ75:BK75"/>
    <mergeCell ref="BN75:BO75"/>
    <mergeCell ref="BR75:BS75"/>
    <mergeCell ref="BV75:BW75"/>
    <mergeCell ref="IJ74:IK74"/>
    <mergeCell ref="FH74:FI74"/>
    <mergeCell ref="FK74:FL74"/>
    <mergeCell ref="FN74:FO74"/>
    <mergeCell ref="FQ74:FR74"/>
    <mergeCell ref="FT74:FU74"/>
    <mergeCell ref="GU74:GV74"/>
    <mergeCell ref="EF74:EG74"/>
    <mergeCell ref="EJ74:EK74"/>
    <mergeCell ref="EN74:EO74"/>
    <mergeCell ref="ER74:ES74"/>
    <mergeCell ref="EV74:EW74"/>
    <mergeCell ref="FA74:FB74"/>
    <mergeCell ref="DD74:DE74"/>
    <mergeCell ref="DL74:DM74"/>
    <mergeCell ref="DP74:DQ74"/>
    <mergeCell ref="AV76:AW76"/>
    <mergeCell ref="AY76:AZ76"/>
    <mergeCell ref="BJ76:BK76"/>
    <mergeCell ref="BV76:BW76"/>
    <mergeCell ref="HP75:HQ75"/>
    <mergeCell ref="IN75:IO75"/>
    <mergeCell ref="JC75:JD75"/>
    <mergeCell ref="KO75:KP75"/>
    <mergeCell ref="F76:G76"/>
    <mergeCell ref="I76:M76"/>
    <mergeCell ref="AA76:AB76"/>
    <mergeCell ref="AE76:AF76"/>
    <mergeCell ref="AI76:AJ76"/>
    <mergeCell ref="AL76:AM76"/>
    <mergeCell ref="EF75:EG75"/>
    <mergeCell ref="EJ75:EK75"/>
    <mergeCell ref="EN75:EO75"/>
    <mergeCell ref="ER75:ES75"/>
    <mergeCell ref="FH75:FI75"/>
    <mergeCell ref="FK75:FL75"/>
    <mergeCell ref="CK75:CL75"/>
    <mergeCell ref="CR75:CS75"/>
    <mergeCell ref="CV75:CW75"/>
    <mergeCell ref="DD75:DE75"/>
    <mergeCell ref="FQ76:FR76"/>
    <mergeCell ref="IN76:IO76"/>
    <mergeCell ref="JC76:JD76"/>
    <mergeCell ref="F77:G77"/>
    <mergeCell ref="AA77:AB77"/>
    <mergeCell ref="AE77:AF77"/>
    <mergeCell ref="AI77:AJ77"/>
    <mergeCell ref="AL77:AM77"/>
    <mergeCell ref="AO77:AP77"/>
    <mergeCell ref="AS77:AT77"/>
    <mergeCell ref="ER76:ES76"/>
    <mergeCell ref="FB76:FC76"/>
    <mergeCell ref="FE76:FF76"/>
    <mergeCell ref="FH76:FI76"/>
    <mergeCell ref="FK76:FL76"/>
    <mergeCell ref="FN76:FO76"/>
    <mergeCell ref="CK76:CL76"/>
    <mergeCell ref="CO76:CP76"/>
    <mergeCell ref="CR76:CS76"/>
    <mergeCell ref="DD76:DE76"/>
    <mergeCell ref="EF76:EG76"/>
    <mergeCell ref="EJ76:EK76"/>
    <mergeCell ref="AO76:AP76"/>
    <mergeCell ref="AS76:AT76"/>
    <mergeCell ref="CV77:CW77"/>
    <mergeCell ref="EJ77:EK77"/>
    <mergeCell ref="FH77:FI77"/>
    <mergeCell ref="F78:G78"/>
    <mergeCell ref="AA78:AB78"/>
    <mergeCell ref="AE78:AF78"/>
    <mergeCell ref="AI78:AJ78"/>
    <mergeCell ref="AL78:AM78"/>
    <mergeCell ref="AO78:AP78"/>
    <mergeCell ref="AS78:AT78"/>
    <mergeCell ref="AV77:AW77"/>
    <mergeCell ref="AY77:AZ77"/>
    <mergeCell ref="BB77:BC77"/>
    <mergeCell ref="BJ77:BK77"/>
    <mergeCell ref="CK77:CL77"/>
    <mergeCell ref="CR77:CS77"/>
    <mergeCell ref="CK79:CL79"/>
    <mergeCell ref="F80:G80"/>
    <mergeCell ref="AA80:AB80"/>
    <mergeCell ref="AE80:AF80"/>
    <mergeCell ref="AL80:AM80"/>
    <mergeCell ref="AO80:AP80"/>
    <mergeCell ref="AS80:AT80"/>
    <mergeCell ref="AV80:AW80"/>
    <mergeCell ref="FQ78:FR78"/>
    <mergeCell ref="F79:G79"/>
    <mergeCell ref="AA79:AB79"/>
    <mergeCell ref="AE79:AF79"/>
    <mergeCell ref="AI79:AJ79"/>
    <mergeCell ref="AL79:AM79"/>
    <mergeCell ref="AO79:AP79"/>
    <mergeCell ref="AS79:AT79"/>
    <mergeCell ref="AV79:AW79"/>
    <mergeCell ref="AY79:AZ79"/>
    <mergeCell ref="AV78:AW78"/>
    <mergeCell ref="BJ78:BK78"/>
    <mergeCell ref="BN78:BO78"/>
    <mergeCell ref="CK78:CL78"/>
    <mergeCell ref="CR78:CS78"/>
    <mergeCell ref="EJ78:EK78"/>
    <mergeCell ref="F83:G83"/>
    <mergeCell ref="AA83:AB83"/>
    <mergeCell ref="AV83:AW83"/>
    <mergeCell ref="F84:G84"/>
    <mergeCell ref="AA84:AB84"/>
    <mergeCell ref="F85:G85"/>
    <mergeCell ref="F81:G81"/>
    <mergeCell ref="AA81:AB81"/>
    <mergeCell ref="AE81:AF81"/>
    <mergeCell ref="AS81:AT81"/>
    <mergeCell ref="AV81:AW81"/>
    <mergeCell ref="F82:G82"/>
    <mergeCell ref="AA82:AB82"/>
    <mergeCell ref="AE82:AF82"/>
    <mergeCell ref="AS82:AT82"/>
    <mergeCell ref="AV82:AW82"/>
    <mergeCell ref="F98:G98"/>
    <mergeCell ref="F92:G92"/>
    <mergeCell ref="F93:G93"/>
    <mergeCell ref="F94:G94"/>
    <mergeCell ref="F95:G95"/>
    <mergeCell ref="F96:G96"/>
    <mergeCell ref="F97:G97"/>
    <mergeCell ref="F86:G86"/>
    <mergeCell ref="F87:G87"/>
    <mergeCell ref="F88:G88"/>
    <mergeCell ref="F89:G89"/>
    <mergeCell ref="F90:G90"/>
    <mergeCell ref="F91:G91"/>
  </mergeCells>
  <phoneticPr fontId="3" type="noConversion"/>
  <pageMargins left="0.7" right="0.7" top="0.75" bottom="0.75" header="0.3" footer="0.3"/>
  <pageSetup paperSize="8" scale="49" fitToWidth="0" orientation="landscape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架构图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lu.bei</dc:creator>
  <cp:lastModifiedBy>lu.bei</cp:lastModifiedBy>
  <dcterms:created xsi:type="dcterms:W3CDTF">2025-03-28T02:09:07Z</dcterms:created>
  <dcterms:modified xsi:type="dcterms:W3CDTF">2025-03-28T02:29:44Z</dcterms:modified>
</cp:coreProperties>
</file>